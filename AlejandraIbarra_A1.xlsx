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3ed3c67fb7c85/Documents/Factibilidad de proyectos de Innovación/"/>
    </mc:Choice>
  </mc:AlternateContent>
  <xr:revisionPtr revIDLastSave="0" documentId="8_{7D111FBF-05F6-41D9-B067-7E2A944F7937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ortada" sheetId="8" r:id="rId1"/>
    <sheet name="Introducción" sheetId="7" r:id="rId2"/>
    <sheet name="Periodo de recuperación" sheetId="3" r:id="rId3"/>
    <sheet name="PFSA" sheetId="4" r:id="rId4"/>
    <sheet name="Factor de ajuste (PFA)" sheetId="5" r:id="rId5"/>
    <sheet name="Estimación de Esfuerzo" sheetId="10" r:id="rId6"/>
    <sheet name="Presupuesto" sheetId="12" r:id="rId7"/>
    <sheet name="Conclusión" sheetId="11" r:id="rId8"/>
  </sheets>
  <definedNames>
    <definedName name="Alta" localSheetId="5">#REF!</definedName>
    <definedName name="Alta" localSheetId="4">#REF!</definedName>
    <definedName name="Alta" localSheetId="6">#REF!</definedName>
    <definedName name="Alta">Tabla3518[Alta]</definedName>
    <definedName name="Alta2" localSheetId="6">Tabla3518[Alta]</definedName>
    <definedName name="Alta2">Tabla3518[Alta]</definedName>
    <definedName name="Baja" localSheetId="5">#REF!</definedName>
    <definedName name="Baja" localSheetId="4">#REF!</definedName>
    <definedName name="Baja" localSheetId="6">#REF!</definedName>
    <definedName name="Baja">Tabla3518[Baja]</definedName>
    <definedName name="EI" localSheetId="5">'Estimación de Esfuerzo'!#REF!</definedName>
    <definedName name="EI" localSheetId="4">'Factor de ajuste (PFA)'!#REF!</definedName>
    <definedName name="EI" localSheetId="6">Presupuesto!#REF!</definedName>
    <definedName name="EI">PFSA!$B$25</definedName>
    <definedName name="EIF" localSheetId="5">'Estimación de Esfuerzo'!#REF!</definedName>
    <definedName name="EIF" localSheetId="4">'Factor de ajuste (PFA)'!#REF!</definedName>
    <definedName name="EIF" localSheetId="6">Presupuesto!#REF!</definedName>
    <definedName name="EIF">PFSA!$B$29</definedName>
    <definedName name="EO" localSheetId="5">'Estimación de Esfuerzo'!#REF!</definedName>
    <definedName name="EO" localSheetId="4">'Factor de ajuste (PFA)'!#REF!</definedName>
    <definedName name="EO" localSheetId="6">Presupuesto!#REF!</definedName>
    <definedName name="EO">PFSA!$B$26</definedName>
    <definedName name="EQ" localSheetId="5">'Estimación de Esfuerzo'!#REF!</definedName>
    <definedName name="EQ" localSheetId="4">'Factor de ajuste (PFA)'!#REF!</definedName>
    <definedName name="EQ" localSheetId="6">Presupuesto!#REF!</definedName>
    <definedName name="EQ">PFSA!$B$27</definedName>
    <definedName name="ILF" localSheetId="5">'Estimación de Esfuerzo'!#REF!</definedName>
    <definedName name="ILF" localSheetId="4">'Factor de ajuste (PFA)'!#REF!</definedName>
    <definedName name="ILF" localSheetId="6">Presupuesto!#REF!</definedName>
    <definedName name="ILF">PFSA!$B$28</definedName>
    <definedName name="IMPACTO" localSheetId="5">#REF!</definedName>
    <definedName name="IMPACTO" localSheetId="6">#REF!</definedName>
    <definedName name="IMPACTO">Tabla11102128[[#All],[Columna2]]</definedName>
    <definedName name="Media" localSheetId="5">#REF!</definedName>
    <definedName name="Media" localSheetId="4">#REF!</definedName>
    <definedName name="Media" localSheetId="6">#REF!</definedName>
    <definedName name="Media">Tabla3518[Media]</definedName>
    <definedName name="Valoresimpacto" localSheetId="5">#REF!</definedName>
    <definedName name="Valoresimpacto" localSheetId="6">#REF!</definedName>
    <definedName name="Valoresimpacto">Tabla11102128[[#All],[Columna1]]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E14" i="3"/>
  <c r="E13" i="3"/>
  <c r="D18" i="3"/>
  <c r="D19" i="3" s="1"/>
  <c r="B23" i="3"/>
  <c r="E11" i="3"/>
  <c r="E12" i="3" s="1"/>
  <c r="E15" i="3" s="1"/>
  <c r="E16" i="3" s="1"/>
  <c r="E17" i="3" s="1"/>
  <c r="D25" i="3"/>
  <c r="D24" i="3"/>
  <c r="D16" i="10"/>
  <c r="D18" i="10"/>
  <c r="D11" i="12"/>
  <c r="D24" i="10"/>
  <c r="D20" i="10"/>
  <c r="D22" i="3"/>
  <c r="D25" i="5"/>
  <c r="D26" i="3"/>
  <c r="D10" i="12"/>
  <c r="D22" i="10"/>
  <c r="D14" i="10"/>
  <c r="D20" i="3" l="1"/>
  <c r="E18" i="3"/>
  <c r="E19" i="3" s="1"/>
  <c r="E20" i="3" s="1"/>
  <c r="D18" i="5"/>
  <c r="C23" i="5" s="1"/>
  <c r="D21" i="3" l="1"/>
  <c r="C5" i="12"/>
  <c r="B11" i="3"/>
  <c r="B12" i="3" s="1"/>
  <c r="B13" i="3" s="1"/>
  <c r="B14" i="3" s="1"/>
  <c r="B15" i="3" s="1"/>
  <c r="B16" i="3" s="1"/>
  <c r="B17" i="3" s="1"/>
  <c r="B18" i="3" s="1"/>
  <c r="B29" i="3" l="1"/>
  <c r="E21" i="3"/>
  <c r="F12" i="4"/>
  <c r="F16" i="4"/>
  <c r="F20" i="4"/>
  <c r="F17" i="4"/>
  <c r="F11" i="4"/>
  <c r="F15" i="4"/>
  <c r="F19" i="4"/>
  <c r="F13" i="4"/>
  <c r="F10" i="4"/>
  <c r="F14" i="4"/>
  <c r="F18" i="4"/>
  <c r="B19" i="3"/>
  <c r="B20" i="3" l="1"/>
  <c r="B24" i="3"/>
  <c r="F9" i="4"/>
  <c r="B21" i="3" l="1"/>
  <c r="F8" i="4"/>
  <c r="F7" i="4"/>
  <c r="B25" i="3"/>
  <c r="F21" i="4" l="1"/>
  <c r="B26" i="3"/>
  <c r="B27" i="3" s="1"/>
  <c r="C22" i="5" l="1"/>
  <c r="C25" i="5" s="1"/>
  <c r="C14" i="10" s="1"/>
  <c r="C16" i="10" s="1"/>
  <c r="C18" i="10" l="1"/>
  <c r="C20" i="10" s="1"/>
  <c r="C22" i="10" s="1"/>
  <c r="C24" i="10"/>
  <c r="C26" i="10" s="1"/>
  <c r="C6" i="12" s="1"/>
  <c r="C10" i="12" s="1"/>
  <c r="C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 2020</author>
  </authors>
  <commentList>
    <comment ref="B6" authorId="0" shapeId="0" xr:uid="{6B236173-0718-4B18-A368-08277719C393}">
      <text>
        <r>
          <rPr>
            <sz val="9"/>
            <color indexed="81"/>
            <rFont val="Tahoma"/>
            <family val="2"/>
          </rPr>
          <t xml:space="preserve">Escriba aquí su introducción
</t>
        </r>
      </text>
    </comment>
  </commentList>
</comments>
</file>

<file path=xl/sharedStrings.xml><?xml version="1.0" encoding="utf-8"?>
<sst xmlns="http://schemas.openxmlformats.org/spreadsheetml/2006/main" count="157" uniqueCount="119">
  <si>
    <t>Año</t>
  </si>
  <si>
    <t>Flujo de efectivo</t>
  </si>
  <si>
    <t>Inversión Inicial</t>
  </si>
  <si>
    <t>Pronóstico</t>
  </si>
  <si>
    <t>Flujo Acumulado</t>
  </si>
  <si>
    <t>Solución</t>
  </si>
  <si>
    <t>Años en recuperar la inversión</t>
  </si>
  <si>
    <t>Años</t>
  </si>
  <si>
    <t>Meses</t>
  </si>
  <si>
    <t>Días</t>
  </si>
  <si>
    <t>ROI</t>
  </si>
  <si>
    <t>Recuperación</t>
  </si>
  <si>
    <t>Retorno sobre la inversión</t>
  </si>
  <si>
    <t>Estimación de Puntos de Función</t>
  </si>
  <si>
    <t>Tipo/Complejidad</t>
  </si>
  <si>
    <t>Baja</t>
  </si>
  <si>
    <t>Media</t>
  </si>
  <si>
    <t>Alta</t>
  </si>
  <si>
    <t>(EI) Entrada Externa</t>
  </si>
  <si>
    <t>(EO) Salida Externa</t>
  </si>
  <si>
    <t>(EQ) Consulta Externa</t>
  </si>
  <si>
    <t>(ILF) Archivo Lógico Interno</t>
  </si>
  <si>
    <t>(EIF) Archivo de interfaz externo</t>
  </si>
  <si>
    <t>Tipo</t>
  </si>
  <si>
    <t>Cantidad</t>
  </si>
  <si>
    <t>Valor</t>
  </si>
  <si>
    <t>Puntos de Función sin Ajustar (PFSA)</t>
  </si>
  <si>
    <t>Factor de Ajuste</t>
  </si>
  <si>
    <t>Comunicación de datos</t>
  </si>
  <si>
    <t>Procesamiento de datos distribuido</t>
  </si>
  <si>
    <t>Desempeño</t>
  </si>
  <si>
    <t>Configuración</t>
  </si>
  <si>
    <t>Tasa de transaccciones</t>
  </si>
  <si>
    <t>Entrada de datos en línea</t>
  </si>
  <si>
    <t>Eficiencia del usuario final</t>
  </si>
  <si>
    <t>Actualización en línea</t>
  </si>
  <si>
    <t>Procesamiento complejo</t>
  </si>
  <si>
    <t>Reusabilidad</t>
  </si>
  <si>
    <t>Facilidad de la instalación</t>
  </si>
  <si>
    <t>Facilidad de la operación</t>
  </si>
  <si>
    <t>Sitios múltiples</t>
  </si>
  <si>
    <t>Facilidad de cambios</t>
  </si>
  <si>
    <t>No existe</t>
  </si>
  <si>
    <t>Mínimo impacto</t>
  </si>
  <si>
    <t>Impacto Promedio</t>
  </si>
  <si>
    <t>Impacto Superior al promedio</t>
  </si>
  <si>
    <t>Impacto Alto</t>
  </si>
  <si>
    <t>Impacto Fuerte</t>
  </si>
  <si>
    <t>PFA=PFSA * [0.065+ (0,01) * Factor de Ajuste)</t>
  </si>
  <si>
    <t>Donde:</t>
  </si>
  <si>
    <t>PFSA: Puntos de Función sin ajustar</t>
  </si>
  <si>
    <t>PFA: Puntos de función ajustado</t>
  </si>
  <si>
    <t>PFA= 75 * [ 0.65+ (0.01*32)]</t>
  </si>
  <si>
    <t>PFA</t>
  </si>
  <si>
    <t>Estimación de esfuerzo</t>
  </si>
  <si>
    <t>Lenguaje</t>
  </si>
  <si>
    <t>Horas PF promedio</t>
  </si>
  <si>
    <t>Línea de código</t>
  </si>
  <si>
    <t>Lenguaje 4ta Generación</t>
  </si>
  <si>
    <t>Horas /Hombre=PFA*horas PF Promedio</t>
  </si>
  <si>
    <t>Costo= (Desarrolladores * Duración meses * sueldos) + Otros costos</t>
  </si>
  <si>
    <t>No. Año</t>
  </si>
  <si>
    <t>Año inicio</t>
  </si>
  <si>
    <t>Tabla IFPUG</t>
  </si>
  <si>
    <t>Aplicación para:</t>
  </si>
  <si>
    <t>Nivel de complejidad</t>
  </si>
  <si>
    <t>Descripción</t>
  </si>
  <si>
    <t>Periodo de Recuperación de la inversión</t>
  </si>
  <si>
    <t>Puntaje asignado</t>
  </si>
  <si>
    <t>TABLA DE IMPACTO</t>
  </si>
  <si>
    <t>Impacto</t>
  </si>
  <si>
    <t>Fórmula</t>
  </si>
  <si>
    <t>PFA=</t>
  </si>
  <si>
    <t>//La IFPUG Genera una tabla por puntos de función /Hora acorde a lenguajes</t>
  </si>
  <si>
    <t>Horas/Hombres</t>
  </si>
  <si>
    <t>Elija Lenguaje de programación</t>
  </si>
  <si>
    <t>Número de programadores</t>
  </si>
  <si>
    <t>Horas de trabajo por día</t>
  </si>
  <si>
    <t>Días de trabajo en el mes</t>
  </si>
  <si>
    <t>Meses de trabajo</t>
  </si>
  <si>
    <t>//Número de meses requeridos para finalizar el trabajo acorde con 1 programador</t>
  </si>
  <si>
    <t>//Aquí se toma en cuenta las horas de trabajo de cada programador por día</t>
  </si>
  <si>
    <t>Días de trabajo por programador</t>
  </si>
  <si>
    <t>Horas de trabajo mensuales por programador</t>
  </si>
  <si>
    <t>Días de trabajo con todo el equipo</t>
  </si>
  <si>
    <t>//Número de días requeridos para finalizar el trabajo con todo el equipo</t>
  </si>
  <si>
    <t>//Meses de trabajo para finalizar el proyecto con todo el equipo de trabajo</t>
  </si>
  <si>
    <t>Presupuesto</t>
  </si>
  <si>
    <t>Duración meses del proyecto</t>
  </si>
  <si>
    <t>Sueldo del programador</t>
  </si>
  <si>
    <t>Duración en meses del proyecto</t>
  </si>
  <si>
    <t>Costo total del Software (desarrollo+Otros costos)</t>
  </si>
  <si>
    <t>Costo de desarrollo</t>
  </si>
  <si>
    <t>Otros costos o costos extras</t>
  </si>
  <si>
    <t xml:space="preserve">TecnoStudio </t>
  </si>
  <si>
    <t>La empresa TecnoStudio fue constituida en el año 2016 con una inversión de $700,000 a continuación se presenta la siguiente tabla de flujos de efectivo que han tenido durante estos años.</t>
  </si>
  <si>
    <t>Registro de docentes y administrativos</t>
  </si>
  <si>
    <t>Registro de materias</t>
  </si>
  <si>
    <t>Eliminar datos</t>
  </si>
  <si>
    <t>Listado de datos</t>
  </si>
  <si>
    <t>Requisitos</t>
  </si>
  <si>
    <t>Registro de alumnos</t>
  </si>
  <si>
    <t>Actualización de datos</t>
  </si>
  <si>
    <t>Reporte de alumnos, docentes, materia</t>
  </si>
  <si>
    <t>Tablas de datos: 1 por cada elemento (6 tablas)</t>
  </si>
  <si>
    <t>Reporte de alumnnos incritos</t>
  </si>
  <si>
    <t>Reporte de calificaciones</t>
  </si>
  <si>
    <t>Buscar datos</t>
  </si>
  <si>
    <t xml:space="preserve">Reporte de materias activas </t>
  </si>
  <si>
    <t xml:space="preserve">Total </t>
  </si>
  <si>
    <t xml:space="preserve"> Meses de trabajo con 4 programadores</t>
  </si>
  <si>
    <t>PORTADA</t>
  </si>
  <si>
    <t>INTRODUCCIÓN GENERAL</t>
  </si>
  <si>
    <r>
      <rPr>
        <b/>
        <sz val="10"/>
        <color theme="1"/>
        <rFont val="Century Gothic"/>
        <family val="2"/>
      </rPr>
      <t xml:space="preserve">Instrucciones: </t>
    </r>
    <r>
      <rPr>
        <sz val="10"/>
        <color theme="1"/>
        <rFont val="Century Gothic"/>
        <family val="2"/>
      </rPr>
      <t xml:space="preserve">Redactar una introducción de </t>
    </r>
    <r>
      <rPr>
        <b/>
        <sz val="10"/>
        <color theme="1"/>
        <rFont val="Century Gothic"/>
        <family val="2"/>
      </rPr>
      <t xml:space="preserve">mínimo 150 palabras </t>
    </r>
    <r>
      <rPr>
        <sz val="10"/>
        <color theme="1"/>
        <rFont val="Century Gothic"/>
        <family val="2"/>
      </rPr>
      <t>referente a la información que presentarás. Puedes agregar conceptos, expectativas del trabajo o una opinión personal previa a la realización del trabajo.</t>
    </r>
  </si>
  <si>
    <t>Ensamblador</t>
  </si>
  <si>
    <t>C++</t>
  </si>
  <si>
    <t>Redactar una conclusión sobre la importancia de lo realizado en la actividad dentro de su campo laboral o vida cotidiana (150 a 250 palabras)</t>
  </si>
  <si>
    <t>Colegio</t>
  </si>
  <si>
    <t>El realizar un estimado de de un costo toal de vida de un proyecto nos implica sumar los costos dorectos eh indirectos, recurrentes y no recurrentes, en este ejemplo de la actividad pues se hizo en base a lo que el cliente pedia, pero tambien hay que considerar que pueden llegar a haber cambios o modificaciones que el cliente requiera y tambien hay que realizar el calculo con eso. Hay 4 metodos para poder saber y determinar el costo de vida de un proyecto y tenemos en primer lugar el costo de la ingenieria, la contabilidad, analogia y la parametrica de los antes mencionados cualquiera se puede usar pero los datos se construyen mas con base en los datos historicos.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</si>
</sst>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&quot;$&quot;* #,##0.00_-;[Red]\-&quot;$&quot;* #,##0.00_-;_-&quot;$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entury Gothic"/>
      <family val="2"/>
    </font>
    <font>
      <b/>
      <sz val="16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 tint="4.9989318521683403E-2"/>
      <name val="Century Gothic"/>
      <family val="2"/>
    </font>
    <font>
      <b/>
      <sz val="11"/>
      <color theme="3"/>
      <name val="Century Gothic"/>
      <family val="2"/>
    </font>
    <font>
      <b/>
      <sz val="12"/>
      <color theme="1"/>
      <name val="Calibri"/>
      <family val="2"/>
      <scheme val="minor"/>
    </font>
    <font>
      <b/>
      <sz val="16"/>
      <name val="Century Gothic"/>
      <family val="2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5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6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2" applyFill="1" applyBorder="1" applyAlignment="1">
      <alignment wrapText="1"/>
    </xf>
    <xf numFmtId="14" fontId="0" fillId="0" borderId="0" xfId="0" applyNumberFormat="1"/>
    <xf numFmtId="0" fontId="5" fillId="4" borderId="0" xfId="0" applyFont="1" applyFill="1"/>
    <xf numFmtId="10" fontId="8" fillId="4" borderId="0" xfId="0" applyNumberFormat="1" applyFont="1" applyFill="1"/>
    <xf numFmtId="0" fontId="5" fillId="0" borderId="0" xfId="0" applyFont="1" applyAlignment="1">
      <alignment horizontal="center"/>
    </xf>
    <xf numFmtId="0" fontId="4" fillId="0" borderId="0" xfId="0" applyFont="1"/>
    <xf numFmtId="0" fontId="10" fillId="4" borderId="0" xfId="0" applyFont="1" applyFill="1"/>
    <xf numFmtId="0" fontId="12" fillId="0" borderId="0" xfId="0" applyFont="1"/>
    <xf numFmtId="0" fontId="13" fillId="0" borderId="0" xfId="0" applyFont="1"/>
    <xf numFmtId="0" fontId="5" fillId="4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2" fontId="5" fillId="4" borderId="2" xfId="0" applyNumberFormat="1" applyFont="1" applyFill="1" applyBorder="1"/>
    <xf numFmtId="1" fontId="5" fillId="4" borderId="2" xfId="0" applyNumberFormat="1" applyFont="1" applyFill="1" applyBorder="1"/>
    <xf numFmtId="0" fontId="5" fillId="0" borderId="0" xfId="0" applyFont="1" applyAlignment="1">
      <alignment horizontal="left"/>
    </xf>
    <xf numFmtId="0" fontId="14" fillId="0" borderId="0" xfId="0" applyFont="1"/>
    <xf numFmtId="1" fontId="12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/>
    </xf>
    <xf numFmtId="165" fontId="12" fillId="0" borderId="0" xfId="0" applyNumberFormat="1" applyFont="1"/>
    <xf numFmtId="1" fontId="13" fillId="0" borderId="0" xfId="0" applyNumberFormat="1" applyFont="1" applyAlignment="1">
      <alignment horizontal="center" vertical="center"/>
    </xf>
    <xf numFmtId="44" fontId="13" fillId="0" borderId="0" xfId="0" applyNumberFormat="1" applyFont="1"/>
    <xf numFmtId="165" fontId="13" fillId="0" borderId="0" xfId="0" applyNumberFormat="1" applyFont="1"/>
    <xf numFmtId="0" fontId="15" fillId="0" borderId="1" xfId="2" applyFont="1" applyAlignment="1">
      <alignment wrapText="1"/>
    </xf>
    <xf numFmtId="0" fontId="3" fillId="5" borderId="7" xfId="0" applyFont="1" applyFill="1" applyBorder="1"/>
    <xf numFmtId="0" fontId="3" fillId="5" borderId="6" xfId="0" applyFont="1" applyFill="1" applyBorder="1"/>
    <xf numFmtId="0" fontId="16" fillId="6" borderId="0" xfId="0" applyFont="1" applyFill="1"/>
    <xf numFmtId="0" fontId="17" fillId="0" borderId="0" xfId="4" applyFont="1" applyFill="1" applyAlignment="1"/>
    <xf numFmtId="0" fontId="5" fillId="7" borderId="0" xfId="0" applyFont="1" applyFill="1"/>
    <xf numFmtId="0" fontId="18" fillId="0" borderId="0" xfId="0" applyFont="1"/>
    <xf numFmtId="0" fontId="5" fillId="0" borderId="2" xfId="0" applyFont="1" applyBorder="1"/>
    <xf numFmtId="0" fontId="19" fillId="0" borderId="2" xfId="0" applyFont="1" applyBorder="1"/>
    <xf numFmtId="0" fontId="5" fillId="4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20" fillId="0" borderId="0" xfId="0" applyFont="1"/>
    <xf numFmtId="0" fontId="5" fillId="0" borderId="2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21" fillId="0" borderId="0" xfId="0" applyFont="1" applyAlignment="1">
      <alignment horizontal="right"/>
    </xf>
    <xf numFmtId="44" fontId="18" fillId="0" borderId="2" xfId="0" applyNumberFormat="1" applyFont="1" applyBorder="1"/>
    <xf numFmtId="1" fontId="18" fillId="0" borderId="2" xfId="0" applyNumberFormat="1" applyFont="1" applyBorder="1"/>
    <xf numFmtId="0" fontId="21" fillId="0" borderId="2" xfId="0" applyFont="1" applyBorder="1"/>
    <xf numFmtId="2" fontId="5" fillId="0" borderId="2" xfId="0" applyNumberFormat="1" applyFont="1" applyBorder="1"/>
    <xf numFmtId="1" fontId="5" fillId="0" borderId="2" xfId="0" applyNumberFormat="1" applyFont="1" applyBorder="1"/>
    <xf numFmtId="0" fontId="19" fillId="0" borderId="0" xfId="0" applyFont="1"/>
    <xf numFmtId="44" fontId="21" fillId="0" borderId="2" xfId="0" applyNumberFormat="1" applyFont="1" applyBorder="1"/>
    <xf numFmtId="2" fontId="21" fillId="0" borderId="2" xfId="0" applyNumberFormat="1" applyFont="1" applyBorder="1"/>
    <xf numFmtId="0" fontId="17" fillId="0" borderId="3" xfId="4" applyFont="1" applyFill="1" applyBorder="1" applyAlignment="1"/>
    <xf numFmtId="0" fontId="0" fillId="0" borderId="4" xfId="0" applyBorder="1"/>
    <xf numFmtId="0" fontId="17" fillId="0" borderId="5" xfId="4" applyFont="1" applyFill="1" applyBorder="1" applyAlignment="1"/>
    <xf numFmtId="164" fontId="9" fillId="2" borderId="2" xfId="3" applyNumberFormat="1" applyFont="1" applyBorder="1"/>
    <xf numFmtId="164" fontId="0" fillId="0" borderId="2" xfId="1" applyNumberFormat="1" applyFont="1" applyFill="1" applyBorder="1"/>
    <xf numFmtId="0" fontId="9" fillId="0" borderId="2" xfId="0" applyFont="1" applyBorder="1"/>
    <xf numFmtId="0" fontId="9" fillId="8" borderId="0" xfId="0" applyFont="1" applyFill="1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/>
    <xf numFmtId="0" fontId="13" fillId="0" borderId="0" xfId="0" applyFont="1" applyAlignment="1">
      <alignment horizontal="left" vertical="top" wrapText="1"/>
    </xf>
    <xf numFmtId="0" fontId="11" fillId="3" borderId="0" xfId="4" applyFont="1" applyAlignment="1">
      <alignment horizontal="center"/>
    </xf>
    <xf numFmtId="0" fontId="22" fillId="0" borderId="0" xfId="0" applyFont="1" applyAlignment="1">
      <alignment horizontal="left" vertical="top" wrapText="1"/>
    </xf>
    <xf numFmtId="0" fontId="23" fillId="11" borderId="0" xfId="0" applyFont="1" applyFill="1" applyAlignment="1">
      <alignment horizontal="center" vertical="top" wrapText="1"/>
    </xf>
    <xf numFmtId="0" fontId="13" fillId="12" borderId="0" xfId="0" applyFont="1" applyFill="1" applyAlignment="1">
      <alignment horizontal="left" vertical="top" wrapText="1"/>
    </xf>
    <xf numFmtId="0" fontId="13" fillId="12" borderId="8" xfId="0" applyFont="1" applyFill="1" applyBorder="1" applyAlignment="1">
      <alignment horizontal="left" vertical="top" wrapText="1"/>
    </xf>
    <xf numFmtId="0" fontId="7" fillId="3" borderId="0" xfId="4" applyFont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Énfasis2" xfId="3" builtinId="33"/>
    <cellStyle name="Énfasis5" xfId="4" builtinId="45"/>
    <cellStyle name="Millares" xfId="1" builtinId="3"/>
    <cellStyle name="Normal" xfId="0" builtinId="0"/>
    <cellStyle name="Título 2" xfId="2" builtinId="17"/>
  </cellStyles>
  <dxfs count="20">
    <dxf>
      <font>
        <strike val="0"/>
        <outline val="0"/>
        <shadow val="0"/>
        <u val="none"/>
        <vertAlign val="baseline"/>
        <name val="Century Gothic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5" formatCode="_-&quot;$&quot;* #,##0.00_-;[Red]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165" formatCode="_-&quot;$&quot;* #,##0.00_-;[Red]\-&quot;$&quot;* #,##0.00_-;_-&quot;$&quot;* &quot;-&quot;??_-;_-@_-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</dxf>
    <dxf>
      <font>
        <strike val="0"/>
        <outline val="0"/>
        <shadow val="0"/>
        <u val="none"/>
        <vertAlign val="baseline"/>
        <name val="Century Gothic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 tint="4.9989318521683403E-2"/>
        <name val="Century Gothi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5" displayName="Tabla15" ref="B10:F22" totalsRowCount="1" headerRowDxfId="19" dataDxfId="18" totalsRowDxfId="17">
  <autoFilter ref="B10:F21" xr:uid="{00000000-0009-0000-0100-000002000000}"/>
  <tableColumns count="5">
    <tableColumn id="1" xr3:uid="{00000000-0010-0000-0000-000001000000}" name="Año" dataDxfId="16" totalsRowDxfId="5"/>
    <tableColumn id="2" xr3:uid="{00000000-0010-0000-0000-000002000000}" name="No. Año" dataDxfId="15" totalsRowDxfId="4"/>
    <tableColumn id="3" xr3:uid="{00000000-0010-0000-0000-000003000000}" name="Flujo de efectivo" totalsRowFunction="custom" dataDxfId="14" totalsRowDxfId="3">
      <totalsRowFormula>_xlfn.FORMULATEXT(D21)</totalsRowFormula>
    </tableColumn>
    <tableColumn id="4" xr3:uid="{00000000-0010-0000-0000-000004000000}" name="Flujo Acumulado" dataDxfId="13" totalsRowDxfId="2">
      <calculatedColumnFormula>Tabla15[[#This Row],[Flujo de efectivo]]</calculatedColumnFormula>
    </tableColumn>
    <tableColumn id="5" xr3:uid="{00000000-0010-0000-0000-000005000000}" name="ROI" dataDxfId="0" totalsRowDxfId="1">
      <calculatedColumnFormula>(Tabla15[[#This Row],[Flujo Acumulado]] / $C$7) * 100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Tabla3518" displayName="Tabla3518" ref="B24:E29" totalsRowShown="0">
  <autoFilter ref="B24:E29" xr:uid="{00000000-0009-0000-0100-000011000000}"/>
  <tableColumns count="4">
    <tableColumn id="1" xr3:uid="{00000000-0010-0000-0100-000001000000}" name="Tipo/Complejidad"/>
    <tableColumn id="2" xr3:uid="{00000000-0010-0000-0100-000002000000}" name="Baja" dataDxfId="12"/>
    <tableColumn id="3" xr3:uid="{00000000-0010-0000-0100-000003000000}" name="Media" dataDxfId="11"/>
    <tableColumn id="4" xr3:uid="{00000000-0010-0000-0100-000004000000}" name="Alta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2000000}" name="Tabla23" displayName="Tabla23" ref="B6:F21" totalsRowShown="0" headerRowDxfId="9">
  <autoFilter ref="B6:F21" xr:uid="{00000000-0009-0000-0100-000017000000}"/>
  <tableColumns count="5">
    <tableColumn id="1" xr3:uid="{00000000-0010-0000-0200-000001000000}" name="Requisitos"/>
    <tableColumn id="2" xr3:uid="{00000000-0010-0000-0200-000002000000}" name="Tipo"/>
    <tableColumn id="3" xr3:uid="{00000000-0010-0000-0200-000003000000}" name="Cantidad" dataDxfId="8">
      <calculatedColumnFormula array="1">_xlfn.IFS($C$4="Baja",LOOKUP(C7,Tabla3518[Tipo/Complejidad],Baja), $C$4="Media",LOOKUP(C7,Tabla3518[Tipo/Complejidad],Media),$C$4="Alta",LOOKUP(C7,Tabla3518[Tipo/Complejidad],Alta))</calculatedColumnFormula>
    </tableColumn>
    <tableColumn id="4" xr3:uid="{00000000-0010-0000-0200-000004000000}" name="Valor"/>
    <tableColumn id="5" xr3:uid="{00000000-0010-0000-0200-000005000000}" name="Total ">
      <calculatedColumnFormula>Tabla23[[#This Row],[Cantidad]]*Tabla23[[#This Row],[Valor]]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3000000}" name="Tabla792027" displayName="Tabla792027" ref="B3:D18" totalsRowShown="0" headerRowDxfId="7">
  <autoFilter ref="B3:D18" xr:uid="{00000000-0009-0000-0100-00001A000000}"/>
  <tableColumns count="3">
    <tableColumn id="1" xr3:uid="{00000000-0010-0000-0300-000001000000}" name="Factor de Ajuste"/>
    <tableColumn id="2" xr3:uid="{00000000-0010-0000-0300-000002000000}" name="Impacto"/>
    <tableColumn id="3" xr3:uid="{00000000-0010-0000-0300-000003000000}" name="Puntaje asign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4000000}" name="Tabla11102128" displayName="Tabla11102128" ref="F8:G13" headerRowCount="0" totalsRowShown="0">
  <tableColumns count="2">
    <tableColumn id="1" xr3:uid="{00000000-0010-0000-0400-000001000000}" name="Columna1" dataDxfId="6"/>
    <tableColumn id="2" xr3:uid="{00000000-0010-0000-0400-000002000000}" name="Columna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5000000}" name="Tabla1211222940" displayName="Tabla1211222940" ref="B8:D11" totalsRowShown="0">
  <autoFilter ref="B8:D11" xr:uid="{00000000-0009-0000-0100-000027000000}"/>
  <tableColumns count="3">
    <tableColumn id="1" xr3:uid="{00000000-0010-0000-0500-000001000000}" name="Lenguaje"/>
    <tableColumn id="2" xr3:uid="{00000000-0010-0000-0500-000002000000}" name="Horas PF promedio"/>
    <tableColumn id="3" xr3:uid="{00000000-0010-0000-0500-000003000000}" name="Línea de códi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"/>
  <sheetViews>
    <sheetView workbookViewId="0">
      <selection activeCell="C6" sqref="C6"/>
    </sheetView>
  </sheetViews>
  <sheetFormatPr baseColWidth="10" defaultRowHeight="14.4" x14ac:dyDescent="0.3"/>
  <sheetData>
    <row r="1" spans="1:1" x14ac:dyDescent="0.3">
      <c r="A1" s="1" t="s">
        <v>111</v>
      </c>
    </row>
  </sheetData>
  <pageMargins left="0.25" right="0.25" top="0.75" bottom="0.75" header="0.3" footer="0.3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15"/>
  <sheetViews>
    <sheetView workbookViewId="0">
      <selection activeCell="B6" sqref="B6:E14"/>
    </sheetView>
  </sheetViews>
  <sheetFormatPr baseColWidth="10" defaultRowHeight="14.4" x14ac:dyDescent="0.3"/>
  <cols>
    <col min="1" max="6" width="20.6640625" customWidth="1"/>
  </cols>
  <sheetData>
    <row r="1" spans="1:6" ht="18.600000000000001" x14ac:dyDescent="0.3">
      <c r="A1" s="62" t="s">
        <v>112</v>
      </c>
      <c r="B1" s="62"/>
      <c r="C1" s="62"/>
    </row>
    <row r="2" spans="1:6" x14ac:dyDescent="0.3">
      <c r="A2" s="63" t="s">
        <v>113</v>
      </c>
      <c r="B2" s="63"/>
      <c r="C2" s="63"/>
      <c r="D2" s="63"/>
      <c r="E2" s="63"/>
      <c r="F2" s="63"/>
    </row>
    <row r="3" spans="1:6" x14ac:dyDescent="0.3">
      <c r="A3" s="63"/>
      <c r="B3" s="63"/>
      <c r="C3" s="63"/>
      <c r="D3" s="63"/>
      <c r="E3" s="63"/>
      <c r="F3" s="63"/>
    </row>
    <row r="4" spans="1:6" x14ac:dyDescent="0.3">
      <c r="A4" s="63"/>
      <c r="B4" s="63"/>
      <c r="C4" s="63"/>
      <c r="D4" s="63"/>
      <c r="E4" s="63"/>
      <c r="F4" s="63"/>
    </row>
    <row r="6" spans="1:6" x14ac:dyDescent="0.3">
      <c r="B6" s="64" t="s">
        <v>118</v>
      </c>
      <c r="C6" s="64"/>
      <c r="D6" s="64"/>
      <c r="E6" s="64"/>
    </row>
    <row r="7" spans="1:6" x14ac:dyDescent="0.3">
      <c r="B7" s="64"/>
      <c r="C7" s="64"/>
      <c r="D7" s="64"/>
      <c r="E7" s="64"/>
    </row>
    <row r="8" spans="1:6" x14ac:dyDescent="0.3">
      <c r="B8" s="64"/>
      <c r="C8" s="64"/>
      <c r="D8" s="64"/>
      <c r="E8" s="64"/>
    </row>
    <row r="9" spans="1:6" x14ac:dyDescent="0.3">
      <c r="B9" s="64"/>
      <c r="C9" s="64"/>
      <c r="D9" s="64"/>
      <c r="E9" s="64"/>
    </row>
    <row r="10" spans="1:6" x14ac:dyDescent="0.3">
      <c r="B10" s="64"/>
      <c r="C10" s="64"/>
      <c r="D10" s="64"/>
      <c r="E10" s="64"/>
    </row>
    <row r="11" spans="1:6" x14ac:dyDescent="0.3">
      <c r="B11" s="64"/>
      <c r="C11" s="64"/>
      <c r="D11" s="64"/>
      <c r="E11" s="64"/>
    </row>
    <row r="12" spans="1:6" x14ac:dyDescent="0.3">
      <c r="B12" s="64"/>
      <c r="C12" s="64"/>
      <c r="D12" s="64"/>
      <c r="E12" s="64"/>
    </row>
    <row r="13" spans="1:6" x14ac:dyDescent="0.3">
      <c r="B13" s="64"/>
      <c r="C13" s="64"/>
      <c r="D13" s="64"/>
      <c r="E13" s="64"/>
    </row>
    <row r="14" spans="1:6" ht="15" thickBot="1" x14ac:dyDescent="0.35">
      <c r="B14" s="65"/>
      <c r="C14" s="65"/>
      <c r="D14" s="65"/>
      <c r="E14" s="65"/>
    </row>
    <row r="15" spans="1:6" ht="15" thickTop="1" x14ac:dyDescent="0.3"/>
  </sheetData>
  <mergeCells count="3">
    <mergeCell ref="A1:C1"/>
    <mergeCell ref="A2:F4"/>
    <mergeCell ref="B6:E14"/>
  </mergeCells>
  <pageMargins left="0.25" right="0.25" top="0.75" bottom="0.75" header="0.3" footer="0.3"/>
  <pageSetup orientation="landscape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F34"/>
  <sheetViews>
    <sheetView topLeftCell="A3" zoomScale="80" zoomScaleNormal="80" workbookViewId="0">
      <selection activeCell="H20" sqref="H20"/>
    </sheetView>
  </sheetViews>
  <sheetFormatPr baseColWidth="10" defaultRowHeight="14.4" x14ac:dyDescent="0.3"/>
  <cols>
    <col min="1" max="1" width="20.109375" customWidth="1"/>
    <col min="2" max="2" width="19.109375" customWidth="1"/>
    <col min="3" max="3" width="20" customWidth="1"/>
    <col min="4" max="4" width="21.6640625" customWidth="1"/>
    <col min="5" max="5" width="25.5546875" customWidth="1"/>
    <col min="6" max="6" width="12" customWidth="1"/>
    <col min="7" max="7" width="27.6640625" bestFit="1" customWidth="1"/>
  </cols>
  <sheetData>
    <row r="1" spans="1:6" ht="20.399999999999999" x14ac:dyDescent="0.35">
      <c r="A1" s="49" t="s">
        <v>94</v>
      </c>
      <c r="B1" s="50"/>
      <c r="C1" s="51"/>
      <c r="D1" s="29"/>
      <c r="E1" s="29"/>
      <c r="F1" s="29"/>
    </row>
    <row r="2" spans="1:6" x14ac:dyDescent="0.3">
      <c r="B2" s="10"/>
      <c r="C2" s="11"/>
      <c r="D2" s="11"/>
      <c r="E2" s="11"/>
    </row>
    <row r="3" spans="1:6" ht="20.399999999999999" x14ac:dyDescent="0.35">
      <c r="B3" s="61" t="s">
        <v>67</v>
      </c>
      <c r="C3" s="61"/>
      <c r="D3" s="61"/>
      <c r="E3" s="61"/>
      <c r="F3" s="61"/>
    </row>
    <row r="4" spans="1:6" ht="16.5" customHeight="1" thickBot="1" x14ac:dyDescent="0.35">
      <c r="A4" s="25" t="s">
        <v>66</v>
      </c>
      <c r="B4" s="60" t="s">
        <v>95</v>
      </c>
      <c r="C4" s="60"/>
      <c r="D4" s="60"/>
      <c r="E4" s="60"/>
      <c r="F4" s="60"/>
    </row>
    <row r="5" spans="1:6" ht="16.5" customHeight="1" thickTop="1" x14ac:dyDescent="0.3">
      <c r="B5" s="60"/>
      <c r="C5" s="60"/>
      <c r="D5" s="60"/>
      <c r="E5" s="60"/>
      <c r="F5" s="60"/>
    </row>
    <row r="6" spans="1:6" ht="16.5" customHeight="1" x14ac:dyDescent="0.3">
      <c r="B6" s="60"/>
      <c r="C6" s="60"/>
      <c r="D6" s="60"/>
      <c r="E6" s="60"/>
      <c r="F6" s="60"/>
    </row>
    <row r="7" spans="1:6" x14ac:dyDescent="0.3">
      <c r="B7" s="9" t="s">
        <v>2</v>
      </c>
      <c r="C7" s="41">
        <v>700000</v>
      </c>
    </row>
    <row r="8" spans="1:6" x14ac:dyDescent="0.3">
      <c r="B8" s="9" t="s">
        <v>62</v>
      </c>
      <c r="C8" s="42">
        <v>2017</v>
      </c>
    </row>
    <row r="10" spans="1:6" ht="15.6" x14ac:dyDescent="0.3">
      <c r="A10" s="11"/>
      <c r="B10" s="18" t="s">
        <v>0</v>
      </c>
      <c r="C10" s="18" t="s">
        <v>61</v>
      </c>
      <c r="D10" s="18" t="s">
        <v>1</v>
      </c>
      <c r="E10" s="18" t="s">
        <v>4</v>
      </c>
      <c r="F10" s="18" t="s">
        <v>10</v>
      </c>
    </row>
    <row r="11" spans="1:6" ht="18" customHeight="1" thickBot="1" x14ac:dyDescent="0.35">
      <c r="A11" s="25" t="s">
        <v>2</v>
      </c>
      <c r="B11" s="19">
        <f>C8-1</f>
        <v>2016</v>
      </c>
      <c r="C11" s="20">
        <v>0</v>
      </c>
      <c r="D11" s="21">
        <v>-700000</v>
      </c>
      <c r="E11" s="21">
        <f>Tabla15[[#This Row],[Flujo de efectivo]]</f>
        <v>-700000</v>
      </c>
      <c r="F11" s="23">
        <f>(Tabla15[[#This Row],[Flujo Acumulado]] / $C$7) * 100</f>
        <v>-100</v>
      </c>
    </row>
    <row r="12" spans="1:6" ht="18" customHeight="1" thickTop="1" x14ac:dyDescent="0.3">
      <c r="A12" s="11"/>
      <c r="B12" s="22">
        <f>B11+1</f>
        <v>2017</v>
      </c>
      <c r="C12" s="20">
        <v>1</v>
      </c>
      <c r="D12" s="23">
        <v>190000</v>
      </c>
      <c r="E12" s="24">
        <f>E11+D12</f>
        <v>-510000</v>
      </c>
      <c r="F12" s="23">
        <f>(Tabla15[[#This Row],[Flujo Acumulado]] / $C$7) * 100</f>
        <v>-72.857142857142847</v>
      </c>
    </row>
    <row r="13" spans="1:6" ht="18" customHeight="1" x14ac:dyDescent="0.3">
      <c r="A13" s="11"/>
      <c r="B13" s="22">
        <f t="shared" ref="B13:B21" si="0">B12+1</f>
        <v>2018</v>
      </c>
      <c r="C13" s="20">
        <v>2</v>
      </c>
      <c r="D13" s="23">
        <v>200000</v>
      </c>
      <c r="E13" s="24">
        <f>E12+D13</f>
        <v>-310000</v>
      </c>
      <c r="F13" s="23">
        <f>(Tabla15[[#This Row],[Flujo Acumulado]] / $C$7) * 100</f>
        <v>-44.285714285714285</v>
      </c>
    </row>
    <row r="14" spans="1:6" ht="18" customHeight="1" x14ac:dyDescent="0.3">
      <c r="A14" s="11"/>
      <c r="B14" s="22">
        <f t="shared" si="0"/>
        <v>2019</v>
      </c>
      <c r="C14" s="20">
        <v>3</v>
      </c>
      <c r="D14" s="23">
        <v>220000</v>
      </c>
      <c r="E14" s="24">
        <f>E13+D14</f>
        <v>-90000</v>
      </c>
      <c r="F14" s="23">
        <f>(Tabla15[[#This Row],[Flujo Acumulado]] / $C$7) * 100</f>
        <v>-12.857142857142856</v>
      </c>
    </row>
    <row r="15" spans="1:6" ht="18" customHeight="1" x14ac:dyDescent="0.3">
      <c r="A15" s="11"/>
      <c r="B15" s="22">
        <f t="shared" si="0"/>
        <v>2020</v>
      </c>
      <c r="C15" s="20">
        <v>4</v>
      </c>
      <c r="D15" s="23">
        <v>250000</v>
      </c>
      <c r="E15" s="24">
        <f t="shared" ref="E13:E21" si="1">E14+D15</f>
        <v>160000</v>
      </c>
      <c r="F15" s="23">
        <f>(Tabla15[[#This Row],[Flujo Acumulado]] / $C$7) * 100</f>
        <v>22.857142857142858</v>
      </c>
    </row>
    <row r="16" spans="1:6" ht="18" customHeight="1" x14ac:dyDescent="0.3">
      <c r="A16" s="11"/>
      <c r="B16" s="22">
        <f t="shared" si="0"/>
        <v>2021</v>
      </c>
      <c r="C16" s="20">
        <v>5</v>
      </c>
      <c r="D16" s="23">
        <v>300000</v>
      </c>
      <c r="E16" s="24">
        <f t="shared" si="1"/>
        <v>460000</v>
      </c>
      <c r="F16" s="23">
        <f>(Tabla15[[#This Row],[Flujo Acumulado]] / $C$7) * 100</f>
        <v>65.714285714285708</v>
      </c>
    </row>
    <row r="17" spans="1:6" ht="18" customHeight="1" thickBot="1" x14ac:dyDescent="0.35">
      <c r="A17" s="25" t="s">
        <v>3</v>
      </c>
      <c r="B17" s="22">
        <f t="shared" si="0"/>
        <v>2022</v>
      </c>
      <c r="C17" s="20">
        <v>6</v>
      </c>
      <c r="D17" s="23">
        <v>530000</v>
      </c>
      <c r="E17" s="24">
        <f t="shared" si="1"/>
        <v>990000</v>
      </c>
      <c r="F17" s="23">
        <f>(Tabla15[[#This Row],[Flujo Acumulado]] / $C$7) * 100</f>
        <v>141.42857142857144</v>
      </c>
    </row>
    <row r="18" spans="1:6" ht="18" customHeight="1" thickTop="1" thickBot="1" x14ac:dyDescent="0.35">
      <c r="A18" s="25" t="s">
        <v>3</v>
      </c>
      <c r="B18" s="22">
        <f t="shared" si="0"/>
        <v>2023</v>
      </c>
      <c r="C18" s="20">
        <v>7</v>
      </c>
      <c r="D18" s="23">
        <f>_xlfn.FORECAST.LINEAR(B18,D12:D17,B12:B17)</f>
        <v>484666.66666667163</v>
      </c>
      <c r="E18" s="24">
        <f t="shared" si="1"/>
        <v>1474666.6666666716</v>
      </c>
      <c r="F18" s="23">
        <f>(Tabla15[[#This Row],[Flujo Acumulado]] / $C$7) * 100</f>
        <v>210.66666666666737</v>
      </c>
    </row>
    <row r="19" spans="1:6" ht="18" customHeight="1" thickTop="1" thickBot="1" x14ac:dyDescent="0.35">
      <c r="A19" s="25" t="s">
        <v>3</v>
      </c>
      <c r="B19" s="22">
        <f t="shared" si="0"/>
        <v>2024</v>
      </c>
      <c r="C19" s="20">
        <v>8</v>
      </c>
      <c r="D19" s="23">
        <f>_xlfn.FORECAST.LINEAR(B19,D12:D18,B12:B18)</f>
        <v>542666.66666667163</v>
      </c>
      <c r="E19" s="24">
        <f t="shared" si="1"/>
        <v>2017333.3333333433</v>
      </c>
      <c r="F19" s="23">
        <f>(Tabla15[[#This Row],[Flujo Acumulado]] / $C$7) * 100</f>
        <v>288.19047619047763</v>
      </c>
    </row>
    <row r="20" spans="1:6" ht="18" customHeight="1" thickTop="1" thickBot="1" x14ac:dyDescent="0.35">
      <c r="A20" s="25" t="s">
        <v>3</v>
      </c>
      <c r="B20" s="22">
        <f t="shared" si="0"/>
        <v>2025</v>
      </c>
      <c r="C20" s="20">
        <v>9</v>
      </c>
      <c r="D20" s="23">
        <f>_xlfn.FORECAST.LINEAR(B20,D12:D19,B12:B19)</f>
        <v>600666.66666667163</v>
      </c>
      <c r="E20" s="24">
        <f t="shared" si="1"/>
        <v>2618000.0000000149</v>
      </c>
      <c r="F20" s="23">
        <f>(Tabla15[[#This Row],[Flujo Acumulado]] / $C$7) * 100</f>
        <v>374.0000000000021</v>
      </c>
    </row>
    <row r="21" spans="1:6" ht="18" customHeight="1" thickTop="1" thickBot="1" x14ac:dyDescent="0.35">
      <c r="A21" s="25" t="s">
        <v>3</v>
      </c>
      <c r="B21" s="22">
        <f t="shared" si="0"/>
        <v>2026</v>
      </c>
      <c r="C21" s="20">
        <v>10</v>
      </c>
      <c r="D21" s="23">
        <f>_xlfn.FORECAST.LINEAR(B21,D12:D20,B12:B20)</f>
        <v>658666.66666667163</v>
      </c>
      <c r="E21" s="24">
        <f t="shared" si="1"/>
        <v>3276666.6666666865</v>
      </c>
      <c r="F21" s="23">
        <f>(Tabla15[[#This Row],[Flujo Acumulado]] / $C$7) * 100</f>
        <v>468.09523809524097</v>
      </c>
    </row>
    <row r="22" spans="1:6" ht="15" thickTop="1" x14ac:dyDescent="0.3">
      <c r="B22" s="58"/>
      <c r="C22" s="20"/>
      <c r="D22" s="23" t="str">
        <f ca="1">_xlfn.FORMULATEXT(D21)</f>
        <v>=FORECAST.LINEAR(B21,D12:D20,B12:B20)</v>
      </c>
      <c r="E22" s="24"/>
      <c r="F22" s="59"/>
    </row>
    <row r="23" spans="1:6" ht="17.399999999999999" x14ac:dyDescent="0.35">
      <c r="A23" s="3" t="s">
        <v>5</v>
      </c>
      <c r="B23" s="15">
        <f>ABS(E14)/D15+C14</f>
        <v>3.36</v>
      </c>
      <c r="C23" s="17" t="s">
        <v>6</v>
      </c>
    </row>
    <row r="24" spans="1:6" x14ac:dyDescent="0.3">
      <c r="B24" s="16">
        <f>INT(B23)</f>
        <v>3</v>
      </c>
      <c r="C24" s="17" t="s">
        <v>7</v>
      </c>
      <c r="D24" s="4" t="str">
        <f ca="1">_xlfn.FORMULATEXT(B24)</f>
        <v>=ENTERO(B23)</v>
      </c>
    </row>
    <row r="25" spans="1:6" x14ac:dyDescent="0.3">
      <c r="B25" s="16">
        <f>INT((FIXED(B23,2)-B24)*12)</f>
        <v>4</v>
      </c>
      <c r="C25" s="17" t="s">
        <v>8</v>
      </c>
      <c r="D25" s="4" t="str">
        <f ca="1">_xlfn.FORMULATEXT(B25)</f>
        <v>=ENTERO((DECIMAL(B23,2)-B24)*12)</v>
      </c>
    </row>
    <row r="26" spans="1:6" x14ac:dyDescent="0.3">
      <c r="B26" s="16">
        <f>INT(((B23-B24)*12-B25)*30)</f>
        <v>9</v>
      </c>
      <c r="C26" s="17" t="s">
        <v>9</v>
      </c>
      <c r="D26" s="4" t="str">
        <f t="shared" ref="D25:D26" ca="1" si="2">_xlfn.FORMULATEXT(B26)</f>
        <v>=ENTERO(((B23-B24)*12-B25)*30)</v>
      </c>
    </row>
    <row r="27" spans="1:6" ht="17.399999999999999" x14ac:dyDescent="0.35">
      <c r="A27" s="3" t="s">
        <v>11</v>
      </c>
      <c r="B27" s="12" t="str">
        <f>"TIEMPO DE RECUPERACIÓN DE LA INVERSIÓN EN "&amp;B24&amp;" "&amp;C24&amp;" "&amp;B25&amp;" "&amp;C25&amp;" "&amp;B26&amp;" "&amp;C26</f>
        <v>TIEMPO DE RECUPERACIÓN DE LA INVERSIÓN EN 3 Años 4 Meses 9 Días</v>
      </c>
      <c r="C27" s="13"/>
      <c r="D27" s="13"/>
      <c r="E27" s="13"/>
      <c r="F27" s="14"/>
    </row>
    <row r="29" spans="1:6" ht="34.799999999999997" x14ac:dyDescent="0.35">
      <c r="A29" s="3" t="s">
        <v>12</v>
      </c>
      <c r="B29" s="6">
        <f>(SUM(D12:D21)+D11)/-D11</f>
        <v>4.6809523809524096</v>
      </c>
    </row>
    <row r="31" spans="1:6" x14ac:dyDescent="0.3">
      <c r="B31" s="1"/>
    </row>
    <row r="32" spans="1:6" x14ac:dyDescent="0.3">
      <c r="B32" s="57"/>
      <c r="C32" s="57"/>
      <c r="D32" s="57"/>
      <c r="E32" s="57"/>
      <c r="F32" s="57"/>
    </row>
    <row r="33" spans="2:6" x14ac:dyDescent="0.3">
      <c r="B33" s="57"/>
      <c r="C33" s="57"/>
      <c r="D33" s="57"/>
      <c r="E33" s="57"/>
      <c r="F33" s="57"/>
    </row>
    <row r="34" spans="2:6" x14ac:dyDescent="0.3">
      <c r="B34" s="57"/>
      <c r="C34" s="57"/>
      <c r="D34" s="57"/>
      <c r="E34" s="57"/>
      <c r="F34" s="57"/>
    </row>
  </sheetData>
  <mergeCells count="2">
    <mergeCell ref="B4:F6"/>
    <mergeCell ref="B3:F3"/>
  </mergeCells>
  <conditionalFormatting sqref="E11:E2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{04288413-5A05-4C45-85FA-90CABCECAE2C}</x14:id>
        </ext>
      </extLst>
    </cfRule>
  </conditionalFormatting>
  <pageMargins left="0.25" right="0.25" top="0.75" bottom="0.75" header="0.3" footer="0.3"/>
  <pageSetup scale="80" orientation="portrait" horizontalDpi="4294967293" verticalDpi="4294967293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288413-5A05-4C45-85FA-90CABCECAE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E11:E21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F34"/>
  <sheetViews>
    <sheetView topLeftCell="A4" zoomScale="80" zoomScaleNormal="80" workbookViewId="0">
      <selection activeCell="E19" sqref="E19"/>
    </sheetView>
  </sheetViews>
  <sheetFormatPr baseColWidth="10" defaultRowHeight="14.4" x14ac:dyDescent="0.3"/>
  <cols>
    <col min="1" max="1" width="20.109375" customWidth="1"/>
    <col min="2" max="2" width="42.33203125" customWidth="1"/>
    <col min="3" max="3" width="25.33203125" bestFit="1" customWidth="1"/>
    <col min="4" max="4" width="25.88671875" customWidth="1"/>
    <col min="5" max="5" width="26.6640625" customWidth="1"/>
    <col min="6" max="6" width="12" customWidth="1"/>
    <col min="7" max="7" width="27.6640625" bestFit="1" customWidth="1"/>
  </cols>
  <sheetData>
    <row r="1" spans="2:6" ht="21" x14ac:dyDescent="0.4">
      <c r="B1" s="66" t="s">
        <v>13</v>
      </c>
      <c r="C1" s="66"/>
      <c r="D1" s="66"/>
      <c r="E1" s="66"/>
      <c r="F1" s="66"/>
    </row>
    <row r="3" spans="2:6" x14ac:dyDescent="0.3">
      <c r="B3" s="5" t="s">
        <v>64</v>
      </c>
      <c r="C3" s="40" t="s">
        <v>117</v>
      </c>
    </row>
    <row r="4" spans="2:6" x14ac:dyDescent="0.3">
      <c r="B4" s="5" t="s">
        <v>65</v>
      </c>
      <c r="C4" s="40" t="s">
        <v>16</v>
      </c>
    </row>
    <row r="6" spans="2:6" x14ac:dyDescent="0.3">
      <c r="B6" s="1" t="s">
        <v>100</v>
      </c>
      <c r="C6" s="26" t="s">
        <v>23</v>
      </c>
      <c r="D6" s="26" t="s">
        <v>24</v>
      </c>
      <c r="E6" s="26" t="s">
        <v>25</v>
      </c>
      <c r="F6" s="27" t="s">
        <v>109</v>
      </c>
    </row>
    <row r="7" spans="2:6" x14ac:dyDescent="0.3">
      <c r="B7" t="s">
        <v>101</v>
      </c>
      <c r="C7" s="31" t="s">
        <v>18</v>
      </c>
      <c r="D7">
        <v>4</v>
      </c>
      <c r="E7">
        <v>1</v>
      </c>
      <c r="F7">
        <f>Tabla23[[#This Row],[Cantidad]]*Tabla23[[#This Row],[Valor]]</f>
        <v>4</v>
      </c>
    </row>
    <row r="8" spans="2:6" x14ac:dyDescent="0.3">
      <c r="B8" t="s">
        <v>96</v>
      </c>
      <c r="C8" s="31" t="s">
        <v>18</v>
      </c>
      <c r="D8">
        <v>4</v>
      </c>
      <c r="E8">
        <v>1</v>
      </c>
      <c r="F8">
        <f>Tabla23[[#This Row],[Cantidad]]*Tabla23[[#This Row],[Valor]]</f>
        <v>4</v>
      </c>
    </row>
    <row r="9" spans="2:6" x14ac:dyDescent="0.3">
      <c r="B9" t="s">
        <v>97</v>
      </c>
      <c r="C9" s="31" t="s">
        <v>20</v>
      </c>
      <c r="D9">
        <v>4</v>
      </c>
      <c r="E9">
        <v>1</v>
      </c>
      <c r="F9">
        <f>Tabla23[[#This Row],[Cantidad]]*Tabla23[[#This Row],[Valor]]</f>
        <v>4</v>
      </c>
    </row>
    <row r="10" spans="2:6" x14ac:dyDescent="0.3">
      <c r="B10" t="s">
        <v>102</v>
      </c>
      <c r="C10" s="31" t="s">
        <v>18</v>
      </c>
      <c r="D10">
        <v>4</v>
      </c>
      <c r="E10">
        <v>1</v>
      </c>
      <c r="F10">
        <f>Tabla23[[#This Row],[Cantidad]]*Tabla23[[#This Row],[Valor]]</f>
        <v>4</v>
      </c>
    </row>
    <row r="11" spans="2:6" x14ac:dyDescent="0.3">
      <c r="B11" t="s">
        <v>98</v>
      </c>
      <c r="C11" s="31" t="s">
        <v>18</v>
      </c>
      <c r="D11">
        <v>4</v>
      </c>
      <c r="E11">
        <v>1</v>
      </c>
      <c r="F11">
        <f>Tabla23[[#This Row],[Cantidad]]*Tabla23[[#This Row],[Valor]]</f>
        <v>4</v>
      </c>
    </row>
    <row r="12" spans="2:6" x14ac:dyDescent="0.3">
      <c r="B12" t="s">
        <v>99</v>
      </c>
      <c r="C12" s="31" t="s">
        <v>19</v>
      </c>
      <c r="D12">
        <v>5</v>
      </c>
      <c r="E12">
        <v>1</v>
      </c>
      <c r="F12">
        <f>Tabla23[[#This Row],[Cantidad]]*Tabla23[[#This Row],[Valor]]</f>
        <v>5</v>
      </c>
    </row>
    <row r="13" spans="2:6" x14ac:dyDescent="0.3">
      <c r="B13" t="s">
        <v>103</v>
      </c>
      <c r="C13" s="31" t="s">
        <v>19</v>
      </c>
      <c r="D13">
        <v>5</v>
      </c>
      <c r="E13">
        <v>1</v>
      </c>
      <c r="F13">
        <f>Tabla23[[#This Row],[Cantidad]]*Tabla23[[#This Row],[Valor]]</f>
        <v>5</v>
      </c>
    </row>
    <row r="14" spans="2:6" x14ac:dyDescent="0.3">
      <c r="B14" t="s">
        <v>104</v>
      </c>
      <c r="C14" s="31" t="s">
        <v>21</v>
      </c>
      <c r="D14">
        <v>10</v>
      </c>
      <c r="E14">
        <v>1</v>
      </c>
      <c r="F14">
        <f>Tabla23[[#This Row],[Cantidad]]*Tabla23[[#This Row],[Valor]]</f>
        <v>10</v>
      </c>
    </row>
    <row r="15" spans="2:6" x14ac:dyDescent="0.3">
      <c r="B15" t="s">
        <v>105</v>
      </c>
      <c r="C15" s="31" t="s">
        <v>19</v>
      </c>
      <c r="D15">
        <v>4</v>
      </c>
      <c r="E15">
        <v>4</v>
      </c>
      <c r="F15">
        <f>Tabla23[[#This Row],[Cantidad]]*Tabla23[[#This Row],[Valor]]</f>
        <v>16</v>
      </c>
    </row>
    <row r="16" spans="2:6" x14ac:dyDescent="0.3">
      <c r="B16" t="s">
        <v>106</v>
      </c>
      <c r="C16" s="31" t="s">
        <v>19</v>
      </c>
      <c r="D16">
        <v>4</v>
      </c>
      <c r="E16">
        <v>1</v>
      </c>
      <c r="F16">
        <f>Tabla23[[#This Row],[Cantidad]]*Tabla23[[#This Row],[Valor]]</f>
        <v>4</v>
      </c>
    </row>
    <row r="17" spans="2:6" x14ac:dyDescent="0.3">
      <c r="B17" t="s">
        <v>107</v>
      </c>
      <c r="C17" s="31" t="s">
        <v>19</v>
      </c>
      <c r="D17">
        <v>4</v>
      </c>
      <c r="E17">
        <v>1</v>
      </c>
      <c r="F17">
        <f>Tabla23[[#This Row],[Cantidad]]*Tabla23[[#This Row],[Valor]]</f>
        <v>4</v>
      </c>
    </row>
    <row r="18" spans="2:6" x14ac:dyDescent="0.3">
      <c r="B18" t="s">
        <v>108</v>
      </c>
      <c r="C18" s="31" t="s">
        <v>19</v>
      </c>
      <c r="D18">
        <v>4</v>
      </c>
      <c r="E18">
        <v>1</v>
      </c>
      <c r="F18">
        <f>Tabla23[[#This Row],[Cantidad]]*Tabla23[[#This Row],[Valor]]</f>
        <v>4</v>
      </c>
    </row>
    <row r="19" spans="2:6" x14ac:dyDescent="0.3">
      <c r="F19">
        <f>Tabla23[[#This Row],[Cantidad]]*Tabla23[[#This Row],[Valor]]</f>
        <v>0</v>
      </c>
    </row>
    <row r="20" spans="2:6" x14ac:dyDescent="0.3">
      <c r="F20">
        <f>Tabla23[[#This Row],[Cantidad]]*Tabla23[[#This Row],[Valor]]</f>
        <v>0</v>
      </c>
    </row>
    <row r="21" spans="2:6" ht="15.6" x14ac:dyDescent="0.3">
      <c r="B21" s="28" t="s">
        <v>26</v>
      </c>
      <c r="C21" s="28"/>
      <c r="D21" s="28"/>
      <c r="E21" s="28"/>
      <c r="F21" s="28">
        <f>SUBTOTAL(9,F7:F19)</f>
        <v>68</v>
      </c>
    </row>
    <row r="22" spans="2:6" x14ac:dyDescent="0.3">
      <c r="B22" s="1"/>
      <c r="C22" s="1"/>
      <c r="D22" s="1"/>
      <c r="E22" s="1"/>
      <c r="F22" s="1"/>
    </row>
    <row r="23" spans="2:6" x14ac:dyDescent="0.3">
      <c r="B23" s="1" t="s">
        <v>63</v>
      </c>
    </row>
    <row r="24" spans="2:6" x14ac:dyDescent="0.3">
      <c r="B24" t="s">
        <v>14</v>
      </c>
      <c r="C24" t="s">
        <v>15</v>
      </c>
      <c r="D24" t="s">
        <v>16</v>
      </c>
      <c r="E24" t="s">
        <v>17</v>
      </c>
    </row>
    <row r="25" spans="2:6" x14ac:dyDescent="0.3">
      <c r="B25" t="s">
        <v>18</v>
      </c>
      <c r="C25" s="2">
        <v>3</v>
      </c>
      <c r="D25" s="2">
        <v>4</v>
      </c>
      <c r="E25" s="2">
        <v>6</v>
      </c>
    </row>
    <row r="26" spans="2:6" x14ac:dyDescent="0.3">
      <c r="B26" t="s">
        <v>19</v>
      </c>
      <c r="C26" s="2">
        <v>4</v>
      </c>
      <c r="D26" s="2">
        <v>5</v>
      </c>
      <c r="E26" s="2">
        <v>7</v>
      </c>
    </row>
    <row r="27" spans="2:6" x14ac:dyDescent="0.3">
      <c r="B27" t="s">
        <v>20</v>
      </c>
      <c r="C27" s="2">
        <v>3</v>
      </c>
      <c r="D27" s="2">
        <v>4</v>
      </c>
      <c r="E27" s="2">
        <v>6</v>
      </c>
    </row>
    <row r="28" spans="2:6" x14ac:dyDescent="0.3">
      <c r="B28" t="s">
        <v>21</v>
      </c>
      <c r="C28" s="2">
        <v>7</v>
      </c>
      <c r="D28" s="2">
        <v>10</v>
      </c>
      <c r="E28" s="2">
        <v>15</v>
      </c>
    </row>
    <row r="29" spans="2:6" x14ac:dyDescent="0.3">
      <c r="B29" t="s">
        <v>22</v>
      </c>
      <c r="C29" s="2">
        <v>5</v>
      </c>
      <c r="D29" s="2">
        <v>7</v>
      </c>
      <c r="E29" s="2">
        <v>10</v>
      </c>
    </row>
    <row r="31" spans="2:6" x14ac:dyDescent="0.3">
      <c r="B31" s="1"/>
    </row>
    <row r="32" spans="2:6" x14ac:dyDescent="0.3">
      <c r="B32" s="57"/>
      <c r="C32" s="57"/>
      <c r="D32" s="57"/>
      <c r="E32" s="57"/>
      <c r="F32" s="57"/>
    </row>
    <row r="33" spans="2:6" x14ac:dyDescent="0.3">
      <c r="B33" s="57"/>
      <c r="C33" s="57"/>
      <c r="D33" s="57"/>
      <c r="E33" s="57"/>
      <c r="F33" s="57"/>
    </row>
    <row r="34" spans="2:6" x14ac:dyDescent="0.3">
      <c r="B34" s="57"/>
      <c r="C34" s="57"/>
      <c r="D34" s="57"/>
      <c r="E34" s="57"/>
      <c r="F34" s="57"/>
    </row>
  </sheetData>
  <mergeCells count="1">
    <mergeCell ref="B1:F1"/>
  </mergeCells>
  <dataValidations count="2">
    <dataValidation type="list" allowBlank="1" showInputMessage="1" showErrorMessage="1" sqref="C7:C21" xr:uid="{00000000-0002-0000-0400-000000000000}">
      <formula1>$B$25:$B$29</formula1>
    </dataValidation>
    <dataValidation type="list" allowBlank="1" showInputMessage="1" showErrorMessage="1" sqref="C4" xr:uid="{00000000-0002-0000-0400-000001000000}">
      <formula1>$C$24:$E$24</formula1>
    </dataValidation>
  </dataValidations>
  <pageMargins left="0.7" right="0.7" top="0.75" bottom="0.75" header="0.3" footer="0.3"/>
  <pageSetup orientation="portrait" horizontalDpi="4294967293" verticalDpi="4294967293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30"/>
  <sheetViews>
    <sheetView workbookViewId="0">
      <selection activeCell="D25" sqref="D25"/>
    </sheetView>
  </sheetViews>
  <sheetFormatPr baseColWidth="10" defaultRowHeight="14.4" x14ac:dyDescent="0.3"/>
  <cols>
    <col min="1" max="1" width="10.88671875" customWidth="1"/>
    <col min="2" max="2" width="42.33203125" customWidth="1"/>
    <col min="3" max="3" width="30.33203125" customWidth="1"/>
    <col min="4" max="4" width="20.33203125" customWidth="1"/>
    <col min="5" max="5" width="7.44140625" customWidth="1"/>
    <col min="6" max="6" width="2" bestFit="1" customWidth="1"/>
    <col min="7" max="7" width="27.6640625" bestFit="1" customWidth="1"/>
  </cols>
  <sheetData>
    <row r="1" spans="2:7" ht="21" x14ac:dyDescent="0.4">
      <c r="B1" s="66" t="s">
        <v>27</v>
      </c>
      <c r="C1" s="66"/>
      <c r="D1" s="66"/>
      <c r="E1" s="66"/>
    </row>
    <row r="3" spans="2:7" x14ac:dyDescent="0.3">
      <c r="B3" s="1" t="s">
        <v>27</v>
      </c>
      <c r="C3" s="1" t="s">
        <v>70</v>
      </c>
      <c r="D3" s="1" t="s">
        <v>68</v>
      </c>
    </row>
    <row r="4" spans="2:7" x14ac:dyDescent="0.3">
      <c r="B4" t="s">
        <v>28</v>
      </c>
      <c r="C4" s="31" t="s">
        <v>46</v>
      </c>
      <c r="D4">
        <v>4</v>
      </c>
    </row>
    <row r="5" spans="2:7" x14ac:dyDescent="0.3">
      <c r="B5" t="s">
        <v>29</v>
      </c>
      <c r="C5" s="31" t="s">
        <v>46</v>
      </c>
      <c r="D5">
        <v>4</v>
      </c>
    </row>
    <row r="6" spans="2:7" x14ac:dyDescent="0.3">
      <c r="B6" t="s">
        <v>30</v>
      </c>
      <c r="C6" s="31" t="s">
        <v>43</v>
      </c>
      <c r="D6">
        <v>1</v>
      </c>
    </row>
    <row r="7" spans="2:7" x14ac:dyDescent="0.3">
      <c r="B7" t="s">
        <v>31</v>
      </c>
      <c r="C7" s="31" t="s">
        <v>43</v>
      </c>
      <c r="D7">
        <v>1</v>
      </c>
      <c r="F7" s="1" t="s">
        <v>69</v>
      </c>
    </row>
    <row r="8" spans="2:7" x14ac:dyDescent="0.3">
      <c r="B8" t="s">
        <v>32</v>
      </c>
      <c r="C8" s="31" t="s">
        <v>45</v>
      </c>
      <c r="D8">
        <v>3</v>
      </c>
      <c r="F8" s="7">
        <v>0</v>
      </c>
      <c r="G8" t="s">
        <v>42</v>
      </c>
    </row>
    <row r="9" spans="2:7" x14ac:dyDescent="0.3">
      <c r="B9" t="s">
        <v>33</v>
      </c>
      <c r="C9" s="31" t="s">
        <v>47</v>
      </c>
      <c r="D9">
        <v>5</v>
      </c>
      <c r="F9" s="7">
        <v>1</v>
      </c>
      <c r="G9" t="s">
        <v>43</v>
      </c>
    </row>
    <row r="10" spans="2:7" x14ac:dyDescent="0.3">
      <c r="B10" t="s">
        <v>34</v>
      </c>
      <c r="C10" s="31" t="s">
        <v>44</v>
      </c>
      <c r="D10">
        <v>2</v>
      </c>
      <c r="F10" s="7">
        <v>2</v>
      </c>
      <c r="G10" t="s">
        <v>44</v>
      </c>
    </row>
    <row r="11" spans="2:7" x14ac:dyDescent="0.3">
      <c r="B11" t="s">
        <v>35</v>
      </c>
      <c r="C11" s="31" t="s">
        <v>45</v>
      </c>
      <c r="D11">
        <v>3</v>
      </c>
      <c r="F11" s="7">
        <v>3</v>
      </c>
      <c r="G11" t="s">
        <v>45</v>
      </c>
    </row>
    <row r="12" spans="2:7" x14ac:dyDescent="0.3">
      <c r="B12" t="s">
        <v>36</v>
      </c>
      <c r="C12" s="31" t="s">
        <v>43</v>
      </c>
      <c r="D12">
        <v>1</v>
      </c>
      <c r="F12" s="7">
        <v>4</v>
      </c>
      <c r="G12" t="s">
        <v>46</v>
      </c>
    </row>
    <row r="13" spans="2:7" x14ac:dyDescent="0.3">
      <c r="B13" t="s">
        <v>37</v>
      </c>
      <c r="C13" s="31" t="s">
        <v>43</v>
      </c>
      <c r="D13">
        <v>1</v>
      </c>
      <c r="F13" s="7">
        <v>5</v>
      </c>
      <c r="G13" t="s">
        <v>47</v>
      </c>
    </row>
    <row r="14" spans="2:7" x14ac:dyDescent="0.3">
      <c r="B14" t="s">
        <v>38</v>
      </c>
      <c r="C14" s="31" t="s">
        <v>42</v>
      </c>
      <c r="D14">
        <v>0</v>
      </c>
    </row>
    <row r="15" spans="2:7" x14ac:dyDescent="0.3">
      <c r="B15" t="s">
        <v>39</v>
      </c>
      <c r="C15" s="31" t="s">
        <v>43</v>
      </c>
      <c r="D15">
        <v>1</v>
      </c>
    </row>
    <row r="16" spans="2:7" x14ac:dyDescent="0.3">
      <c r="B16" t="s">
        <v>40</v>
      </c>
      <c r="C16" s="31" t="s">
        <v>44</v>
      </c>
      <c r="D16">
        <v>2</v>
      </c>
    </row>
    <row r="17" spans="1:6" x14ac:dyDescent="0.3">
      <c r="B17" t="s">
        <v>41</v>
      </c>
      <c r="C17" s="31" t="s">
        <v>46</v>
      </c>
      <c r="D17">
        <v>4</v>
      </c>
    </row>
    <row r="18" spans="1:6" x14ac:dyDescent="0.3">
      <c r="C18" s="30" t="s">
        <v>27</v>
      </c>
      <c r="D18" s="30">
        <f>SUM(D4:D17)</f>
        <v>32</v>
      </c>
    </row>
    <row r="20" spans="1:6" ht="15" thickBot="1" x14ac:dyDescent="0.35">
      <c r="A20" s="25" t="s">
        <v>71</v>
      </c>
      <c r="B20" s="33" t="s">
        <v>48</v>
      </c>
    </row>
    <row r="21" spans="1:6" ht="15" thickTop="1" x14ac:dyDescent="0.3">
      <c r="B21" t="s">
        <v>49</v>
      </c>
    </row>
    <row r="22" spans="1:6" x14ac:dyDescent="0.3">
      <c r="B22" t="s">
        <v>50</v>
      </c>
      <c r="C22" s="35">
        <f>PFSA!F21</f>
        <v>68</v>
      </c>
    </row>
    <row r="23" spans="1:6" x14ac:dyDescent="0.3">
      <c r="B23" t="s">
        <v>51</v>
      </c>
      <c r="C23" s="36">
        <f>D18</f>
        <v>32</v>
      </c>
    </row>
    <row r="24" spans="1:6" x14ac:dyDescent="0.3">
      <c r="B24" s="8" t="s">
        <v>52</v>
      </c>
    </row>
    <row r="25" spans="1:6" x14ac:dyDescent="0.3">
      <c r="B25" s="34" t="s">
        <v>72</v>
      </c>
      <c r="C25" s="34">
        <f>C22*(0.65+(0.01*C23))</f>
        <v>65.959999999999994</v>
      </c>
      <c r="D25" t="str">
        <f ca="1">_xlfn.FORMULATEXT(C25)</f>
        <v>=C22*(0.65+(0.01*C23))</v>
      </c>
    </row>
    <row r="27" spans="1:6" x14ac:dyDescent="0.3">
      <c r="B27" s="1"/>
    </row>
    <row r="28" spans="1:6" x14ac:dyDescent="0.3">
      <c r="B28" s="57"/>
      <c r="C28" s="57"/>
      <c r="D28" s="57"/>
      <c r="E28" s="57"/>
      <c r="F28" s="57"/>
    </row>
    <row r="29" spans="1:6" x14ac:dyDescent="0.3">
      <c r="B29" s="57"/>
      <c r="C29" s="57"/>
      <c r="D29" s="57"/>
      <c r="E29" s="57"/>
      <c r="F29" s="57"/>
    </row>
    <row r="30" spans="1:6" x14ac:dyDescent="0.3">
      <c r="B30" s="57"/>
      <c r="C30" s="57"/>
      <c r="D30" s="57"/>
      <c r="E30" s="57"/>
      <c r="F30" s="57"/>
    </row>
  </sheetData>
  <mergeCells count="1">
    <mergeCell ref="B1:E1"/>
  </mergeCells>
  <dataValidations count="1">
    <dataValidation type="list" allowBlank="1" showInputMessage="1" showErrorMessage="1" sqref="C4:C17" xr:uid="{00000000-0002-0000-0500-000000000000}">
      <formula1>$G$8:$G$13</formula1>
    </dataValidation>
  </dataValidations>
  <pageMargins left="0.7" right="0.7" top="0.75" bottom="0.75" header="0.3" footer="0.3"/>
  <pageSetup orientation="portrait" horizontalDpi="4294967293" verticalDpi="4294967293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F31"/>
  <sheetViews>
    <sheetView workbookViewId="0">
      <selection activeCell="C27" sqref="C27"/>
    </sheetView>
  </sheetViews>
  <sheetFormatPr baseColWidth="10" defaultRowHeight="14.4" x14ac:dyDescent="0.3"/>
  <cols>
    <col min="1" max="1" width="9.44140625" customWidth="1"/>
    <col min="2" max="2" width="42.33203125" customWidth="1"/>
    <col min="3" max="3" width="23.109375" bestFit="1" customWidth="1"/>
    <col min="4" max="4" width="19.88671875" bestFit="1" customWidth="1"/>
    <col min="5" max="5" width="26.6640625" customWidth="1"/>
    <col min="6" max="6" width="15.33203125" customWidth="1"/>
    <col min="7" max="7" width="27.6640625" bestFit="1" customWidth="1"/>
  </cols>
  <sheetData>
    <row r="1" spans="2:5" ht="21" x14ac:dyDescent="0.4">
      <c r="B1" s="66" t="s">
        <v>54</v>
      </c>
      <c r="C1" s="66"/>
      <c r="D1" s="66"/>
      <c r="E1" s="66"/>
    </row>
    <row r="3" spans="2:5" x14ac:dyDescent="0.3">
      <c r="B3" s="5" t="s">
        <v>75</v>
      </c>
      <c r="C3" s="39" t="s">
        <v>58</v>
      </c>
    </row>
    <row r="4" spans="2:5" x14ac:dyDescent="0.3">
      <c r="B4" s="5" t="s">
        <v>76</v>
      </c>
      <c r="C4" s="43">
        <v>4</v>
      </c>
    </row>
    <row r="5" spans="2:5" x14ac:dyDescent="0.3">
      <c r="B5" s="5" t="s">
        <v>77</v>
      </c>
      <c r="C5" s="54">
        <v>8</v>
      </c>
    </row>
    <row r="6" spans="2:5" x14ac:dyDescent="0.3">
      <c r="B6" s="5" t="s">
        <v>78</v>
      </c>
      <c r="C6" s="54">
        <v>20</v>
      </c>
    </row>
    <row r="8" spans="2:5" x14ac:dyDescent="0.3">
      <c r="B8" t="s">
        <v>55</v>
      </c>
      <c r="C8" t="s">
        <v>56</v>
      </c>
      <c r="D8" t="s">
        <v>57</v>
      </c>
    </row>
    <row r="9" spans="2:5" x14ac:dyDescent="0.3">
      <c r="B9" t="s">
        <v>114</v>
      </c>
    </row>
    <row r="10" spans="2:5" x14ac:dyDescent="0.3">
      <c r="B10" t="s">
        <v>115</v>
      </c>
    </row>
    <row r="11" spans="2:5" x14ac:dyDescent="0.3">
      <c r="B11" t="s">
        <v>58</v>
      </c>
      <c r="C11">
        <v>8</v>
      </c>
      <c r="D11">
        <v>20</v>
      </c>
    </row>
    <row r="13" spans="2:5" x14ac:dyDescent="0.3">
      <c r="B13" s="1" t="s">
        <v>59</v>
      </c>
    </row>
    <row r="14" spans="2:5" x14ac:dyDescent="0.3">
      <c r="B14" s="5" t="s">
        <v>53</v>
      </c>
      <c r="C14" s="38">
        <f>'Factor de ajuste (PFA)'!C25</f>
        <v>65.959999999999994</v>
      </c>
      <c r="D14" t="str">
        <f ca="1">_xlfn.FORMULATEXT(C14)</f>
        <v>='Factor de ajuste (PFA)'!C25</v>
      </c>
    </row>
    <row r="15" spans="2:5" x14ac:dyDescent="0.3">
      <c r="B15" s="37" t="s">
        <v>73</v>
      </c>
    </row>
    <row r="16" spans="2:5" x14ac:dyDescent="0.3">
      <c r="B16" s="5" t="s">
        <v>74</v>
      </c>
      <c r="C16" s="32">
        <f>C5*C14</f>
        <v>527.67999999999995</v>
      </c>
      <c r="D16" t="str">
        <f ca="1">_xlfn.FORMULATEXT(C16)</f>
        <v>=C5*C14</v>
      </c>
    </row>
    <row r="17" spans="2:6" x14ac:dyDescent="0.3">
      <c r="B17" s="37" t="s">
        <v>81</v>
      </c>
    </row>
    <row r="18" spans="2:6" x14ac:dyDescent="0.3">
      <c r="B18" s="5" t="s">
        <v>82</v>
      </c>
      <c r="C18" s="32">
        <f>C16/$C$5</f>
        <v>65.959999999999994</v>
      </c>
      <c r="D18" t="str">
        <f ca="1">_xlfn.FORMULATEXT(C18)</f>
        <v>=C16/$C$5</v>
      </c>
    </row>
    <row r="19" spans="2:6" x14ac:dyDescent="0.3">
      <c r="B19" s="37" t="s">
        <v>80</v>
      </c>
    </row>
    <row r="20" spans="2:6" x14ac:dyDescent="0.3">
      <c r="B20" s="5" t="s">
        <v>79</v>
      </c>
      <c r="C20" s="32">
        <f>C18/C6</f>
        <v>3.2979999999999996</v>
      </c>
      <c r="D20" t="str">
        <f ca="1">_xlfn.FORMULATEXT(C20)</f>
        <v>=C18/C6</v>
      </c>
    </row>
    <row r="21" spans="2:6" x14ac:dyDescent="0.3">
      <c r="B21" s="37" t="s">
        <v>80</v>
      </c>
    </row>
    <row r="22" spans="2:6" x14ac:dyDescent="0.3">
      <c r="B22" s="5" t="s">
        <v>83</v>
      </c>
      <c r="C22" s="32">
        <f>C5*C20/C4</f>
        <v>6.5959999999999992</v>
      </c>
      <c r="D22" t="str">
        <f ca="1">_xlfn.FORMULATEXT(C22)</f>
        <v>=C5*C20/C4</v>
      </c>
    </row>
    <row r="23" spans="2:6" x14ac:dyDescent="0.3">
      <c r="B23" s="37" t="s">
        <v>85</v>
      </c>
    </row>
    <row r="24" spans="2:6" x14ac:dyDescent="0.3">
      <c r="B24" s="5" t="s">
        <v>84</v>
      </c>
      <c r="C24" s="45">
        <f>C16/C5/C4</f>
        <v>16.489999999999998</v>
      </c>
      <c r="D24" t="str">
        <f ca="1">_xlfn.FORMULATEXT(C24)</f>
        <v>=C16/C5/C4</v>
      </c>
    </row>
    <row r="25" spans="2:6" x14ac:dyDescent="0.3">
      <c r="B25" s="37" t="s">
        <v>86</v>
      </c>
    </row>
    <row r="26" spans="2:6" x14ac:dyDescent="0.3">
      <c r="B26" s="5" t="s">
        <v>90</v>
      </c>
      <c r="C26" s="44">
        <f>C24/C6</f>
        <v>0.8244999999999999</v>
      </c>
      <c r="D26" t="s">
        <v>110</v>
      </c>
    </row>
    <row r="28" spans="2:6" x14ac:dyDescent="0.3">
      <c r="B28" s="1"/>
    </row>
    <row r="29" spans="2:6" x14ac:dyDescent="0.3">
      <c r="B29" s="57"/>
      <c r="C29" s="57"/>
      <c r="D29" s="57"/>
      <c r="E29" s="57"/>
      <c r="F29" s="57"/>
    </row>
    <row r="30" spans="2:6" x14ac:dyDescent="0.3">
      <c r="B30" s="57"/>
      <c r="C30" s="57"/>
      <c r="D30" s="57"/>
      <c r="E30" s="57"/>
      <c r="F30" s="57"/>
    </row>
    <row r="31" spans="2:6" x14ac:dyDescent="0.3">
      <c r="B31" s="57"/>
      <c r="C31" s="57"/>
      <c r="D31" s="57"/>
      <c r="E31" s="57"/>
      <c r="F31" s="57"/>
    </row>
  </sheetData>
  <mergeCells count="1">
    <mergeCell ref="B1:E1"/>
  </mergeCells>
  <dataValidations count="2">
    <dataValidation type="list" allowBlank="1" showInputMessage="1" showErrorMessage="1" sqref="C3" xr:uid="{00000000-0002-0000-0600-000000000000}">
      <formula1>$B$9:$B$11</formula1>
    </dataValidation>
    <dataValidation type="list" allowBlank="1" showInputMessage="1" showErrorMessage="1" sqref="C4" xr:uid="{00000000-0002-0000-0600-000001000000}">
      <formula1>"1,2,3,4"</formula1>
    </dataValidation>
  </dataValidation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16"/>
  <sheetViews>
    <sheetView tabSelected="1" workbookViewId="0">
      <selection activeCell="E14" sqref="E14"/>
    </sheetView>
  </sheetViews>
  <sheetFormatPr baseColWidth="10" defaultRowHeight="14.4" x14ac:dyDescent="0.3"/>
  <cols>
    <col min="1" max="1" width="20.109375" customWidth="1"/>
    <col min="2" max="2" width="48.109375" customWidth="1"/>
    <col min="3" max="3" width="23.109375" bestFit="1" customWidth="1"/>
    <col min="4" max="4" width="19.88671875" bestFit="1" customWidth="1"/>
    <col min="5" max="5" width="26.6640625" customWidth="1"/>
    <col min="6" max="6" width="16.5546875" customWidth="1"/>
    <col min="7" max="7" width="8.109375" customWidth="1"/>
  </cols>
  <sheetData>
    <row r="1" spans="1:6" ht="21" x14ac:dyDescent="0.4">
      <c r="B1" s="66" t="s">
        <v>87</v>
      </c>
      <c r="C1" s="66"/>
      <c r="D1" s="66"/>
      <c r="E1" s="66"/>
    </row>
    <row r="3" spans="1:6" ht="15" thickBot="1" x14ac:dyDescent="0.35">
      <c r="A3" s="25" t="s">
        <v>71</v>
      </c>
      <c r="B3" s="46" t="s">
        <v>60</v>
      </c>
    </row>
    <row r="4" spans="1:6" ht="15" thickTop="1" x14ac:dyDescent="0.3"/>
    <row r="5" spans="1:6" x14ac:dyDescent="0.3">
      <c r="B5" s="5" t="s">
        <v>76</v>
      </c>
      <c r="C5" s="43">
        <f>'Estimación de Esfuerzo'!C4</f>
        <v>4</v>
      </c>
    </row>
    <row r="6" spans="1:6" x14ac:dyDescent="0.3">
      <c r="B6" s="5" t="s">
        <v>88</v>
      </c>
      <c r="C6" s="48">
        <f>'Estimación de Esfuerzo'!C26</f>
        <v>0.8244999999999999</v>
      </c>
    </row>
    <row r="7" spans="1:6" x14ac:dyDescent="0.3">
      <c r="B7" s="5" t="s">
        <v>89</v>
      </c>
      <c r="C7" s="47">
        <v>35000</v>
      </c>
    </row>
    <row r="8" spans="1:6" x14ac:dyDescent="0.3">
      <c r="B8" s="5" t="s">
        <v>93</v>
      </c>
      <c r="C8" s="47">
        <v>100000</v>
      </c>
    </row>
    <row r="10" spans="1:6" x14ac:dyDescent="0.3">
      <c r="B10" s="5" t="s">
        <v>92</v>
      </c>
      <c r="C10" s="53">
        <f>C5*C6*C7</f>
        <v>115429.99999999999</v>
      </c>
      <c r="D10" t="str">
        <f ca="1">_xlfn.FORMULATEXT(C10)</f>
        <v>=C5*C6*C7</v>
      </c>
    </row>
    <row r="11" spans="1:6" x14ac:dyDescent="0.3">
      <c r="B11" s="5" t="s">
        <v>91</v>
      </c>
      <c r="C11" s="52">
        <f>C10+C8</f>
        <v>215430</v>
      </c>
      <c r="D11" t="str">
        <f ca="1">_xlfn.FORMULATEXT(C11)</f>
        <v>=C10+C8</v>
      </c>
    </row>
    <row r="13" spans="1:6" x14ac:dyDescent="0.3">
      <c r="B13" s="1"/>
    </row>
    <row r="14" spans="1:6" x14ac:dyDescent="0.3">
      <c r="B14" s="56"/>
      <c r="C14" s="56"/>
      <c r="D14" s="56"/>
      <c r="E14" s="56"/>
      <c r="F14" s="56"/>
    </row>
    <row r="15" spans="1:6" x14ac:dyDescent="0.3">
      <c r="B15" s="56"/>
      <c r="C15" s="56"/>
      <c r="D15" s="56"/>
      <c r="E15" s="56"/>
      <c r="F15" s="56"/>
    </row>
    <row r="16" spans="1:6" x14ac:dyDescent="0.3">
      <c r="B16" s="56"/>
      <c r="C16" s="56"/>
      <c r="D16" s="56"/>
      <c r="E16" s="56"/>
      <c r="F16" s="56"/>
    </row>
  </sheetData>
  <mergeCells count="1">
    <mergeCell ref="B1:E1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8"/>
  <sheetViews>
    <sheetView workbookViewId="0">
      <selection activeCell="A3" sqref="A3:I8"/>
    </sheetView>
  </sheetViews>
  <sheetFormatPr baseColWidth="10" defaultRowHeight="14.4" x14ac:dyDescent="0.3"/>
  <cols>
    <col min="9" max="9" width="17.33203125" customWidth="1"/>
  </cols>
  <sheetData>
    <row r="1" spans="1:9" x14ac:dyDescent="0.3">
      <c r="A1" s="55" t="s">
        <v>116</v>
      </c>
      <c r="B1" s="55"/>
      <c r="C1" s="55"/>
      <c r="D1" s="55"/>
      <c r="E1" s="55"/>
      <c r="F1" s="55"/>
      <c r="G1" s="55"/>
      <c r="H1" s="55"/>
      <c r="I1" s="55"/>
    </row>
    <row r="3" spans="1:9" x14ac:dyDescent="0.3">
      <c r="A3" s="67"/>
      <c r="B3" s="67"/>
      <c r="C3" s="67"/>
      <c r="D3" s="67"/>
      <c r="E3" s="67"/>
      <c r="F3" s="67"/>
      <c r="G3" s="67"/>
      <c r="H3" s="67"/>
      <c r="I3" s="67"/>
    </row>
    <row r="4" spans="1:9" x14ac:dyDescent="0.3">
      <c r="A4" s="67"/>
      <c r="B4" s="67"/>
      <c r="C4" s="67"/>
      <c r="D4" s="67"/>
      <c r="E4" s="67"/>
      <c r="F4" s="67"/>
      <c r="G4" s="67"/>
      <c r="H4" s="67"/>
      <c r="I4" s="67"/>
    </row>
    <row r="5" spans="1:9" x14ac:dyDescent="0.3">
      <c r="A5" s="67"/>
      <c r="B5" s="67"/>
      <c r="C5" s="67"/>
      <c r="D5" s="67"/>
      <c r="E5" s="67"/>
      <c r="F5" s="67"/>
      <c r="G5" s="67"/>
      <c r="H5" s="67"/>
      <c r="I5" s="67"/>
    </row>
    <row r="6" spans="1:9" x14ac:dyDescent="0.3">
      <c r="A6" s="67"/>
      <c r="B6" s="67"/>
      <c r="C6" s="67"/>
      <c r="D6" s="67"/>
      <c r="E6" s="67"/>
      <c r="F6" s="67"/>
      <c r="G6" s="67"/>
      <c r="H6" s="67"/>
      <c r="I6" s="67"/>
    </row>
    <row r="7" spans="1:9" x14ac:dyDescent="0.3">
      <c r="A7" s="67"/>
      <c r="B7" s="67"/>
      <c r="C7" s="67"/>
      <c r="D7" s="67"/>
      <c r="E7" s="67"/>
      <c r="F7" s="67"/>
      <c r="G7" s="67"/>
      <c r="H7" s="67"/>
      <c r="I7" s="67"/>
    </row>
    <row r="8" spans="1:9" ht="78" customHeight="1" x14ac:dyDescent="0.3">
      <c r="A8" s="67"/>
      <c r="B8" s="67"/>
      <c r="C8" s="67"/>
      <c r="D8" s="67"/>
      <c r="E8" s="67"/>
      <c r="F8" s="67"/>
      <c r="G8" s="67"/>
      <c r="H8" s="67"/>
      <c r="I8" s="67"/>
    </row>
  </sheetData>
  <mergeCells count="1">
    <mergeCell ref="A3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Portada</vt:lpstr>
      <vt:lpstr>Introducción</vt:lpstr>
      <vt:lpstr>Periodo de recuperación</vt:lpstr>
      <vt:lpstr>PFSA</vt:lpstr>
      <vt:lpstr>Factor de ajuste (PFA)</vt:lpstr>
      <vt:lpstr>Estimación de Esfuerzo</vt:lpstr>
      <vt:lpstr>Presupuesto</vt:lpstr>
      <vt:lpstr>Conclusión</vt:lpstr>
      <vt:lpstr>Alta</vt:lpstr>
      <vt:lpstr>Presupuesto!Alta2</vt:lpstr>
      <vt:lpstr>Alta2</vt:lpstr>
      <vt:lpstr>Baja</vt:lpstr>
      <vt:lpstr>EI</vt:lpstr>
      <vt:lpstr>EIF</vt:lpstr>
      <vt:lpstr>EO</vt:lpstr>
      <vt:lpstr>EQ</vt:lpstr>
      <vt:lpstr>ILF</vt:lpstr>
      <vt:lpstr>IMPACTO</vt:lpstr>
      <vt:lpstr>Media</vt:lpstr>
      <vt:lpstr>Valoresimpacto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 2020</dc:creator>
  <cp:lastModifiedBy>Alejandra Ibarra</cp:lastModifiedBy>
  <cp:lastPrinted>2024-12-28T05:06:45Z</cp:lastPrinted>
  <dcterms:created xsi:type="dcterms:W3CDTF">2022-04-19T00:08:34Z</dcterms:created>
  <dcterms:modified xsi:type="dcterms:W3CDTF">2026-09-05T04:10:08Z</dcterms:modified>
</cp:coreProperties>
</file>