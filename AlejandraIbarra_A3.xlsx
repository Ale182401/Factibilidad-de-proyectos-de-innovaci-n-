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1d23ed3c67fb7c85/Documents/Factibilidad de proyectos de Innovación/"/>
    </mc:Choice>
  </mc:AlternateContent>
  <xr:revisionPtr revIDLastSave="0" documentId="8_{2245958A-EA20-4DC1-93A9-94B2EC9EE8C9}" xr6:coauthVersionLast="47" xr6:coauthVersionMax="47" xr10:uidLastSave="{00000000-0000-0000-0000-000000000000}"/>
  <bookViews>
    <workbookView xWindow="-108" yWindow="-108" windowWidth="23256" windowHeight="12456" tabRatio="700" firstSheet="3" activeTab="6" xr2:uid="{8E2E8526-B805-4BF5-960C-43FA2E7EB333}"/>
  </bookViews>
  <sheets>
    <sheet name="Portada e índice" sheetId="2" r:id="rId1"/>
    <sheet name="Introducción" sheetId="3" r:id="rId2"/>
    <sheet name="Etapa 1. Análisis Ext. e Int." sheetId="4" r:id="rId3"/>
    <sheet name="Etapa 2. Mapa estratégico" sheetId="5" r:id="rId4"/>
    <sheet name="Etapa 3. Objetivos Relevantes" sheetId="6" r:id="rId5"/>
    <sheet name="Etapa 4. Tablero de control" sheetId="7" r:id="rId6"/>
    <sheet name="Etapa 5. Dashboard" sheetId="8" r:id="rId7"/>
    <sheet name="Conclusión" sheetId="9" r:id="rId8"/>
  </sheets>
  <definedNames>
    <definedName name="Categorías">#REF!</definedName>
    <definedName name="DESOBJ">Etapa1Analisis[Descripción de objetivo]</definedName>
    <definedName name="ID">Etapa1Analisis[ID]</definedName>
    <definedName name="META">Etapa1Analisis[Meta]</definedName>
    <definedName name="SegmentaciónDeDatos_Categoría">#N/A</definedName>
    <definedName name="UNIDADMEDICION">Etapa1Analisis[Medición]</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7" l="1"/>
  <c r="E9" i="7"/>
  <c r="F9" i="7"/>
  <c r="E10" i="7"/>
  <c r="F10" i="7"/>
  <c r="E11" i="7"/>
  <c r="F11" i="7"/>
  <c r="E12" i="7"/>
  <c r="F12" i="7"/>
  <c r="E13" i="7"/>
  <c r="F13" i="7"/>
  <c r="E14" i="7"/>
  <c r="F14" i="7"/>
  <c r="E15" i="7"/>
  <c r="F15" i="7"/>
  <c r="E16" i="7"/>
  <c r="F16" i="7"/>
  <c r="F8" i="7"/>
  <c r="E8" i="7"/>
  <c r="D9" i="7"/>
  <c r="D10" i="7"/>
  <c r="D11" i="7"/>
  <c r="D12" i="7"/>
  <c r="D13" i="7"/>
  <c r="D14" i="7"/>
  <c r="D15" i="7"/>
  <c r="D8" i="7"/>
  <c r="C9" i="7"/>
  <c r="C10" i="7"/>
  <c r="C11" i="7"/>
  <c r="C12" i="7"/>
  <c r="C13" i="7"/>
  <c r="C14" i="7"/>
  <c r="C15" i="7"/>
  <c r="C16" i="7"/>
  <c r="C8" i="7"/>
  <c r="B8" i="7"/>
  <c r="B9" i="7"/>
  <c r="B10" i="7"/>
  <c r="B11" i="7"/>
  <c r="B12" i="7"/>
  <c r="B13" i="7"/>
  <c r="B14" i="7"/>
  <c r="B15" i="7"/>
  <c r="B16" i="7"/>
  <c r="A9" i="7"/>
  <c r="A10" i="7"/>
  <c r="A11" i="7"/>
  <c r="A12" i="7"/>
  <c r="A13" i="7"/>
  <c r="A14" i="7"/>
  <c r="A15" i="7"/>
  <c r="A16" i="7"/>
  <c r="A8" i="7"/>
  <c r="D11" i="6"/>
  <c r="D12" i="6"/>
  <c r="D13" i="6"/>
  <c r="D14" i="6"/>
  <c r="D15" i="6"/>
  <c r="D16" i="6"/>
  <c r="D17" i="6"/>
  <c r="D18" i="6"/>
  <c r="D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 2020</author>
  </authors>
  <commentList>
    <comment ref="B6" authorId="0" shapeId="0" xr:uid="{A85F53FC-F5F3-4A43-A9EC-831F10DC4FAD}">
      <text>
        <r>
          <rPr>
            <sz val="9"/>
            <color indexed="81"/>
            <rFont val="Tahoma"/>
            <family val="2"/>
          </rPr>
          <t xml:space="preserve">Escriba aquí su introducción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Celes 2020</author>
  </authors>
  <commentList>
    <comment ref="B18" authorId="0" shapeId="0" xr:uid="{4AE03FA8-E6E4-4679-9F2C-F961D35EDF1B}">
      <text>
        <r>
          <rPr>
            <sz val="9"/>
            <color indexed="81"/>
            <rFont val="Tahoma"/>
            <family val="2"/>
          </rPr>
          <t>La lista de objetivos es modificable, si es necesario puede cambiar la redacción, quitar o insertar uno nuevo. Esto depende de los objetivos institucionales que surgen en la etapa del Análisis.</t>
        </r>
      </text>
    </comment>
  </commentList>
</comments>
</file>

<file path=xl/sharedStrings.xml><?xml version="1.0" encoding="utf-8"?>
<sst xmlns="http://schemas.openxmlformats.org/spreadsheetml/2006/main" count="161" uniqueCount="95">
  <si>
    <t>Clientes</t>
  </si>
  <si>
    <t>Financiera</t>
  </si>
  <si>
    <t>Procesos</t>
  </si>
  <si>
    <t>Aprendizaje y Desarrollo</t>
  </si>
  <si>
    <t>Visión Estratégica</t>
  </si>
  <si>
    <t>ID</t>
  </si>
  <si>
    <t>Descripción de objetivo</t>
  </si>
  <si>
    <t>Meta</t>
  </si>
  <si>
    <t>Incrementar eficiencia del proceso</t>
  </si>
  <si>
    <t>Reducir tiempo de ciclo</t>
  </si>
  <si>
    <t>Anual</t>
  </si>
  <si>
    <t>Mensual</t>
  </si>
  <si>
    <t>Etapa 2. Mapa Estratégico</t>
  </si>
  <si>
    <t>Etapa 3. Objetivos e indicadores claves</t>
  </si>
  <si>
    <t>Categoría</t>
  </si>
  <si>
    <t>Objetivo-Descripción</t>
  </si>
  <si>
    <t>Indicador</t>
  </si>
  <si>
    <t>Avance Actual</t>
  </si>
  <si>
    <t>(Utilidad neta) / (Ingresos totales) * 100%</t>
  </si>
  <si>
    <t>Incrementar % de rentabilidad</t>
  </si>
  <si>
    <t>Fidelización de los clientes</t>
  </si>
  <si>
    <t>Control de calidad para reducción de defectos</t>
  </si>
  <si>
    <t>Capacitación total del personal</t>
  </si>
  <si>
    <t>índice de rotación menor</t>
  </si>
  <si>
    <t>(Ventas actuales-Ventas anterior) / (ventas periodo anterior)*100%</t>
  </si>
  <si>
    <t>(No. Clientes con valoración mayor a neutro o satisfactorio) / (total clientes encuestados) * 100%</t>
  </si>
  <si>
    <t>(Unidades producidas) / (Costo producción) * 100%</t>
  </si>
  <si>
    <t>(No. Fallas) / (Total de servicios) * 100%</t>
  </si>
  <si>
    <t>Sumatoria de operaciones (minutos)</t>
  </si>
  <si>
    <t>(No. Capacitaciones ejecutadas) / (No. Capacitaciones planificadas) * 100%</t>
  </si>
  <si>
    <t>Rotación neta / Número empleados * 100%</t>
  </si>
  <si>
    <t>Valor de la inversión (Millones o miles)</t>
  </si>
  <si>
    <t>Etapa 4. Tablero de control</t>
  </si>
  <si>
    <t>Objetivo</t>
  </si>
  <si>
    <t>Meta propuesta</t>
  </si>
  <si>
    <t>Suficiente</t>
  </si>
  <si>
    <t>Deficiente</t>
  </si>
  <si>
    <t>Responsable / Encargado</t>
  </si>
  <si>
    <t>Porcentaje</t>
  </si>
  <si>
    <t>Gerente</t>
  </si>
  <si>
    <t>Comercial</t>
  </si>
  <si>
    <t>Operaciones</t>
  </si>
  <si>
    <t>RH</t>
  </si>
  <si>
    <t>Etapa 5. Resultados</t>
  </si>
  <si>
    <t>Óptimo</t>
  </si>
  <si>
    <t>PORTADA E ÍNDICE</t>
  </si>
  <si>
    <t xml:space="preserve">Introducción </t>
  </si>
  <si>
    <t xml:space="preserve">Etapa 1. Análisis y Diseño </t>
  </si>
  <si>
    <t xml:space="preserve">Etapa 2. Mapa Estratégico </t>
  </si>
  <si>
    <t xml:space="preserve">Etapa 3. Objetivos Relevantes </t>
  </si>
  <si>
    <t xml:space="preserve">Etapa 4. Tablero de Control </t>
  </si>
  <si>
    <t>Etapa 5. Dashboard</t>
  </si>
  <si>
    <r>
      <rPr>
        <b/>
        <sz val="10"/>
        <color theme="1"/>
        <rFont val="Century Gothic"/>
        <family val="2"/>
      </rPr>
      <t xml:space="preserve">Instrucciones: </t>
    </r>
    <r>
      <rPr>
        <sz val="10"/>
        <color theme="1"/>
        <rFont val="Century Gothic"/>
        <family val="2"/>
      </rPr>
      <t xml:space="preserve">Redactar una introducción de </t>
    </r>
    <r>
      <rPr>
        <b/>
        <sz val="10"/>
        <color theme="1"/>
        <rFont val="Century Gothic"/>
        <family val="2"/>
      </rPr>
      <t xml:space="preserve">mínimo 150 palabras </t>
    </r>
    <r>
      <rPr>
        <sz val="10"/>
        <color theme="1"/>
        <rFont val="Century Gothic"/>
        <family val="2"/>
      </rPr>
      <t>referente a la información que presentarás. Puedes agregar conceptos, expectativas del trabajo o una opinión personal previa a la realización del trabajo.</t>
    </r>
  </si>
  <si>
    <t>Etapa 1. Análisis Externo e Interno</t>
  </si>
  <si>
    <r>
      <rPr>
        <b/>
        <sz val="8"/>
        <color theme="1"/>
        <rFont val="Century Gothic"/>
        <family val="2"/>
      </rPr>
      <t xml:space="preserve">Nota del mentor: </t>
    </r>
    <r>
      <rPr>
        <sz val="8"/>
        <color theme="1"/>
        <rFont val="Century Gothic"/>
        <family val="2"/>
      </rPr>
      <t>La etapa de análisis interno y externo es un proceso que se utiliza para definir objetivos en una organización. Esta etapa implica la recopilación de información sobre el entorno externo y los recursos internos de la organización para identificar sus fortalezas, debilidades, oportunidades y amenazas.
El análisis interno se enfoca en los recursos, habilidades, capacidades y limitaciones de la organización, incluyendo su estructura, cultura, procesos, sistemas y equipos. Este análisis puede ayudar a la organización a identificar sus ventajas competitivas, áreas de mejora y oportunidades para optimizar su desempeño.
Por otro lado, el análisis externo se enfoca en el entorno en el que la organización opera, incluyendo el mercado, la competencia, los clientes, proveedores, regulaciones, tendencias económicas y tecnológicas, entre otros. Este análisis puede ayudar a la organización a identificar oportunidades y amenazas externas que pueden impactar su desempeño y a desarrollar estrategias para aprovechar o mitigar estos factores.</t>
    </r>
  </si>
  <si>
    <t>INTRODUCCIÓN GENERAL</t>
  </si>
  <si>
    <r>
      <rPr>
        <b/>
        <sz val="8"/>
        <color theme="1"/>
        <rFont val="Century Gothic"/>
        <family val="2"/>
      </rPr>
      <t xml:space="preserve">Nota del mentor: </t>
    </r>
    <r>
      <rPr>
        <sz val="8"/>
        <color theme="1"/>
        <rFont val="Century Gothic"/>
        <family val="2"/>
      </rPr>
      <t>La etapa de diseño de un mapa estratégico es un proceso clave en la elaboración de un cuadro de mando integral (CMI). Un mapa estratégico es una herramienta visual que muestra la relación entre los objetivos estratégicos de una organización y los factores críticos de éxito que deben alcanzarse para lograr esos objetivos.
En esta etapa, se identifican los objetivos estratégicos de la organización y se organizan en perspectivas que reflejan los diferentes aspectos del desempeño empresarial. Por lo general, estas perspectivas incluyen Financiera, Clientes, Procesos internos y Aprendizaje y Crecimiento.
Una vez identificados los objetivos y perspectivas, se establecen relaciones de causa y efecto entre ellos para construir el mapa estratégico. Es decir, se identifican las causas y consecuencias de cada objetivo estratégico, y se establecen relaciones lógicas entre ellos. El mapa estratégico muestra cómo la consecución de objetivos en una perspectiva afecta la consecución de objetivos en otras perspectivas.</t>
    </r>
  </si>
  <si>
    <t>Contextualización:</t>
  </si>
  <si>
    <t>La empresa TecnoStudio necesita involucrar sus estrategias dentro de los objetivos de la</t>
  </si>
  <si>
    <t>empresa. En consecuencia, requiere definir un cuadro de mando integral (Balanced</t>
  </si>
  <si>
    <t>Scorecard). Para ello, considerar los siguientes datos proporcionados para el modelo de</t>
  </si>
  <si>
    <t>gestión:</t>
  </si>
  <si>
    <t>Incrementar inversión en herramientas para los departamentos e inversión en investigación</t>
  </si>
  <si>
    <t>Aumentar ingreso de ventas</t>
  </si>
  <si>
    <t>Listado de Objetivos (No modificar)</t>
  </si>
  <si>
    <t>Rellene la columa  de "Descripción de objetivos" eligiendo las opciones conforme al video.</t>
  </si>
  <si>
    <t>Establezca en la columna de "Meta" el valor porcentual sugerido en el video. Este valor es un valor sugerido, puede ser cambiado para efectos de la entrega.</t>
  </si>
  <si>
    <t>Fije en la columna de "Unidad de Medición", la frecuencia con que se reporta el objetivo.</t>
  </si>
  <si>
    <t>Establece los objetivos estratégicos acorde con la visión de la empresa.</t>
  </si>
  <si>
    <t>Los datos de esta columna son propuestos por el alumno</t>
  </si>
  <si>
    <t>Elija en la columna "Categoría" las opciones acorde con la dimensión estratégica.</t>
  </si>
  <si>
    <t>Elija en la columna "Objetivo-Descripción" el objetivo estratégico</t>
  </si>
  <si>
    <t>Verifique que el indicador es correcto y corresponde con el objetivo propuesto</t>
  </si>
  <si>
    <t>Rellene la columna "Avance Actual" con valores sugeridos suyos o propuestos por el video.</t>
  </si>
  <si>
    <t>Unidad de medida</t>
  </si>
  <si>
    <t>Elija la opción adecuada en la columna "Unidad de medida".</t>
  </si>
  <si>
    <t>Unidad de Medida</t>
  </si>
  <si>
    <t>Medición</t>
  </si>
  <si>
    <t>Establezca los parámetros de Óptimo, Suficiente y Deficiente acorde con su criterio o el video propuesto.</t>
  </si>
  <si>
    <t>Elija el encargado o responsable de dar seguimiento al objetivo clave.</t>
  </si>
  <si>
    <t>Verifica que las columnas muestren correctamente los datos establecidos en hojas anteriores, si es necesario ajusta el formato de las celdas.</t>
  </si>
  <si>
    <t>Indicaciones para esta hoja</t>
  </si>
  <si>
    <t>CONCLUSIÓN (150 PALABRAS)</t>
  </si>
  <si>
    <t>Elabora un gráfico por cada objetivo de cada perspectiva de la visión estratégica que contraste la meta propuesta contra el avance actual.</t>
  </si>
  <si>
    <t>PERSPECTIVA FINANCIERA</t>
  </si>
  <si>
    <t>Los gráficos deberán tener título, ejes titulados, leyendas y unidades. Se sugiere cambies el diseño, estilo y paleta de colores.</t>
  </si>
  <si>
    <t>Adicionalmente puedes dar formato a los diferentes gráficos.</t>
  </si>
  <si>
    <t xml:space="preserve"> </t>
  </si>
  <si>
    <t>CLIENTES</t>
  </si>
  <si>
    <t>PROCESOS</t>
  </si>
  <si>
    <t>APRENDIZAJE Y DESARROLLO</t>
  </si>
  <si>
    <t>Millones</t>
  </si>
  <si>
    <t>Horas</t>
  </si>
  <si>
    <t>Las metricas o indicadores que se utilizan se dividen en distintas areas las cuales principalmente son precios y costos y estos nos ayudan a enfocarnos en el producto, tambien nos acompaña el desempeño financiero que nos mide el retorno de cada proyecto, tambien la calendarizacion que son las mas comunes para los proyectos de ejecucion, adicional los recursos que son llos as metricas similares a los gastos y los gastos son enfocados a investigar el porcentaje de los presupuestos. Los KPI se enfocan en principalmente 4 situaciones, que son mostrar tendencias, señalar el pasado, señalar el presente, y resaltar las areas de oportunidad que puedan existir, ademas esto ayuda a las organizaciones por que definen el camino que hay que tomar para mejorar, asi como cuando hay que tomar para mejorar.</t>
  </si>
  <si>
    <t xml:space="preserve">En los proyectos digitales es el proceso de gestion de cambios criticos, y por lo tanto es muy importante tener de forma basica e importante un balance entre los recursos ecomonicos y humanos. Y es por eso que en este sentido el proceso de gestion de cambio debe ser controlado por un equipo de profesionales que represente todas las areas del proyecto para que nos ayuden a evaluar, priorizar, planear, aprobar e implementar. Esta actividad me parecio muy importante por que asi nos orientamos nosotros como desarrolladores a saber como funcionan todos aquellos cambios que pueden implementarse en la creacion de un proyecto al igual como calcualr el tiempo por cada actividad y programa a desarrollar, el saber exactamente con las formulas todo aquello que se calcula. Tomando en cuenta que para que un proyecto pueda ser rentable se necesita evaluar el costo total de la vida del proyecto y de esta manera es posible determinar la ganancia deseada en cada momento del ciclo lo cual nos ayuda a alcanzar una rentabilidad propia.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</si>
</sst>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b/>
      <sz val="12"/>
      <color theme="1"/>
      <name val="Century Gothic"/>
      <family val="2"/>
    </font>
    <font>
      <b/>
      <sz val="14"/>
      <color theme="1"/>
      <name val="Century Gothic"/>
      <family val="2"/>
    </font>
    <font>
      <sz val="11"/>
      <color theme="1"/>
      <name val="Century Gothic"/>
      <family val="2"/>
    </font>
    <font>
      <sz val="9"/>
      <color theme="1"/>
      <name val="Century Gothic"/>
      <family val="2"/>
    </font>
    <font>
      <b/>
      <sz val="11"/>
      <color theme="1"/>
      <name val="Century Gothic"/>
      <family val="2"/>
    </font>
    <font>
      <b/>
      <sz val="15"/>
      <color theme="1"/>
      <name val="Century Gothic"/>
      <family val="2"/>
    </font>
    <font>
      <b/>
      <sz val="10"/>
      <color theme="1"/>
      <name val="Century Gothic"/>
      <family val="2"/>
    </font>
    <font>
      <sz val="10"/>
      <color theme="1"/>
      <name val="Century Gothic"/>
      <family val="2"/>
    </font>
    <font>
      <b/>
      <sz val="9"/>
      <color theme="1"/>
      <name val="Century Gothic"/>
      <family val="2"/>
    </font>
    <font>
      <sz val="9"/>
      <color indexed="81"/>
      <name val="Tahoma"/>
      <family val="2"/>
    </font>
    <font>
      <sz val="8"/>
      <color theme="1"/>
      <name val="Century Gothic"/>
      <family val="2"/>
    </font>
    <font>
      <b/>
      <sz val="8"/>
      <color theme="1"/>
      <name val="Century Gothic"/>
      <family val="2"/>
    </font>
    <font>
      <b/>
      <sz val="9"/>
      <name val="Century Gothic"/>
      <family val="2"/>
    </font>
    <font>
      <b/>
      <sz val="8"/>
      <color theme="1"/>
      <name val="Calibri"/>
      <family val="2"/>
      <scheme val="minor"/>
    </font>
    <font>
      <sz val="8"/>
      <color theme="1"/>
      <name val="Calibri"/>
      <family val="2"/>
      <scheme val="minor"/>
    </font>
    <font>
      <b/>
      <sz val="10"/>
      <color theme="1"/>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b/>
      <sz val="14"/>
      <color theme="1"/>
      <name val="Calibri"/>
      <family val="2"/>
      <scheme val="minor"/>
    </font>
    <font>
      <b/>
      <sz val="11"/>
      <name val="Calibri"/>
      <family val="2"/>
      <scheme val="minor"/>
    </font>
    <font>
      <b/>
      <sz val="22"/>
      <color theme="1"/>
      <name val="Calibri"/>
      <family val="2"/>
      <scheme val="minor"/>
    </font>
    <font>
      <sz val="11"/>
      <color theme="1"/>
      <name val="Arial"/>
      <family val="2"/>
    </font>
  </fonts>
  <fills count="11">
    <fill>
      <patternFill patternType="none"/>
    </fill>
    <fill>
      <patternFill patternType="gray125"/>
    </fill>
    <fill>
      <patternFill patternType="solid">
        <fgColor rgb="FF92D05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C000"/>
        <bgColor indexed="64"/>
      </patternFill>
    </fill>
    <fill>
      <patternFill patternType="solid">
        <fgColor theme="8"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2">
    <xf numFmtId="0" fontId="0" fillId="0" borderId="0"/>
    <xf numFmtId="9" fontId="1" fillId="0" borderId="0" applyFont="0" applyFill="0" applyBorder="0" applyAlignment="0" applyProtection="0"/>
  </cellStyleXfs>
  <cellXfs count="52">
    <xf numFmtId="0" fontId="0" fillId="0" borderId="0" xfId="0"/>
    <xf numFmtId="0" fontId="5" fillId="0" borderId="0" xfId="0" applyFont="1"/>
    <xf numFmtId="9" fontId="0" fillId="0" borderId="0" xfId="1" applyFont="1"/>
    <xf numFmtId="0" fontId="0" fillId="0" borderId="0" xfId="0" applyAlignment="1">
      <alignment horizontal="center" vertical="center"/>
    </xf>
    <xf numFmtId="9" fontId="0" fillId="0" borderId="0" xfId="1" applyFont="1" applyAlignment="1">
      <alignment horizontal="center" vertical="center"/>
    </xf>
    <xf numFmtId="0" fontId="2" fillId="4" borderId="1" xfId="0" applyFont="1" applyFill="1" applyBorder="1"/>
    <xf numFmtId="0" fontId="6" fillId="0" borderId="0" xfId="0" applyFont="1"/>
    <xf numFmtId="0" fontId="4" fillId="0" borderId="0" xfId="0" applyFont="1"/>
    <xf numFmtId="0" fontId="4" fillId="0" borderId="0" xfId="0" applyFont="1" applyAlignment="1">
      <alignment horizontal="center" vertical="center"/>
    </xf>
    <xf numFmtId="0" fontId="10" fillId="0" borderId="0" xfId="0" applyFont="1" applyAlignment="1">
      <alignment horizontal="center" vertical="center"/>
    </xf>
    <xf numFmtId="9" fontId="5" fillId="0" borderId="0" xfId="1" applyFont="1" applyAlignment="1">
      <alignment horizontal="center" vertical="center"/>
    </xf>
    <xf numFmtId="0" fontId="5" fillId="0" borderId="0" xfId="0" applyFont="1" applyAlignment="1">
      <alignment horizontal="center" vertical="center"/>
    </xf>
    <xf numFmtId="1" fontId="5" fillId="0" borderId="0" xfId="1" applyNumberFormat="1" applyFont="1" applyAlignment="1">
      <alignment horizontal="center" vertical="center"/>
    </xf>
    <xf numFmtId="0" fontId="10" fillId="0" borderId="0" xfId="0" applyFont="1"/>
    <xf numFmtId="0" fontId="5" fillId="0" borderId="0" xfId="0" applyFont="1" applyAlignment="1">
      <alignment wrapText="1"/>
    </xf>
    <xf numFmtId="0" fontId="14" fillId="6" borderId="0" xfId="0" applyFont="1" applyFill="1"/>
    <xf numFmtId="0" fontId="10" fillId="0" borderId="0" xfId="0" applyFont="1" applyAlignment="1">
      <alignment horizontal="center"/>
    </xf>
    <xf numFmtId="0" fontId="5" fillId="0" borderId="1" xfId="0" applyFont="1" applyBorder="1" applyAlignment="1">
      <alignment horizontal="left" vertical="top" wrapText="1"/>
    </xf>
    <xf numFmtId="9" fontId="15" fillId="5" borderId="0" xfId="1" applyFont="1" applyFill="1" applyAlignment="1">
      <alignment horizontal="center" wrapText="1"/>
    </xf>
    <xf numFmtId="0" fontId="5" fillId="6" borderId="0" xfId="0" applyFont="1" applyFill="1" applyAlignment="1">
      <alignment horizontal="left" vertical="top" wrapText="1"/>
    </xf>
    <xf numFmtId="0" fontId="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center" vertical="center"/>
    </xf>
    <xf numFmtId="0" fontId="18" fillId="0" borderId="0" xfId="0" applyFont="1" applyAlignment="1">
      <alignment horizontal="left" vertical="top" wrapText="1"/>
    </xf>
    <xf numFmtId="9" fontId="17" fillId="0" borderId="0" xfId="1" applyFont="1" applyAlignment="1">
      <alignment horizontal="center" vertical="center"/>
    </xf>
    <xf numFmtId="1" fontId="17" fillId="0" borderId="0" xfId="1" applyNumberFormat="1" applyFont="1" applyAlignment="1">
      <alignment horizontal="center" vertical="center"/>
    </xf>
    <xf numFmtId="0" fontId="19" fillId="0" borderId="0" xfId="0" applyFont="1" applyAlignment="1">
      <alignment horizontal="left" vertical="top" wrapText="1"/>
    </xf>
    <xf numFmtId="0" fontId="19" fillId="0" borderId="0" xfId="0" applyFont="1" applyAlignment="1">
      <alignment horizontal="left" vertical="top"/>
    </xf>
    <xf numFmtId="9" fontId="19" fillId="0" borderId="0" xfId="0" applyNumberFormat="1" applyFont="1" applyAlignment="1">
      <alignment horizontal="left" vertical="top"/>
    </xf>
    <xf numFmtId="0" fontId="20" fillId="0" borderId="0" xfId="0" applyFont="1" applyAlignment="1">
      <alignment horizontal="left" vertical="top"/>
    </xf>
    <xf numFmtId="0" fontId="0" fillId="0" borderId="0" xfId="0" applyAlignment="1">
      <alignment horizontal="center" vertical="center" wrapText="1"/>
    </xf>
    <xf numFmtId="9" fontId="21" fillId="0" borderId="0" xfId="1" applyFont="1" applyAlignment="1">
      <alignment horizontal="center" vertical="center"/>
    </xf>
    <xf numFmtId="1" fontId="21" fillId="0" borderId="0" xfId="1" applyNumberFormat="1" applyFont="1" applyAlignment="1">
      <alignment horizontal="center" vertical="center"/>
    </xf>
    <xf numFmtId="9" fontId="0" fillId="0" borderId="0" xfId="0" applyNumberFormat="1" applyAlignment="1">
      <alignment horizontal="left" vertical="top"/>
    </xf>
    <xf numFmtId="0" fontId="23" fillId="9" borderId="0" xfId="0" applyFont="1" applyFill="1"/>
    <xf numFmtId="0" fontId="7" fillId="2" borderId="0" xfId="0" applyFont="1" applyFill="1" applyAlignment="1">
      <alignment horizontal="center" vertical="top"/>
    </xf>
    <xf numFmtId="0" fontId="4" fillId="3" borderId="0" xfId="0" applyFont="1" applyFill="1" applyAlignment="1">
      <alignment horizontal="center" vertical="center" textRotation="90" wrapText="1"/>
    </xf>
    <xf numFmtId="0" fontId="12" fillId="8" borderId="0" xfId="0" applyFont="1" applyFill="1" applyAlignment="1">
      <alignment horizontal="left" vertical="top" wrapText="1"/>
    </xf>
    <xf numFmtId="0" fontId="7" fillId="0" borderId="0" xfId="0" applyFont="1" applyAlignment="1">
      <alignment horizontal="left" vertical="top" wrapText="1"/>
    </xf>
    <xf numFmtId="0" fontId="9" fillId="5" borderId="0" xfId="0" applyFont="1" applyFill="1" applyAlignment="1">
      <alignment horizontal="center" vertical="top" wrapText="1"/>
    </xf>
    <xf numFmtId="0" fontId="4" fillId="7" borderId="0" xfId="0" applyFont="1" applyFill="1" applyAlignment="1">
      <alignment horizontal="left" vertical="top" wrapText="1"/>
    </xf>
    <xf numFmtId="0" fontId="4" fillId="7" borderId="2" xfId="0" applyFont="1" applyFill="1" applyBorder="1" applyAlignment="1">
      <alignment horizontal="left" vertical="top" wrapText="1"/>
    </xf>
    <xf numFmtId="0" fontId="12" fillId="8" borderId="0" xfId="0" applyFont="1" applyFill="1" applyAlignment="1">
      <alignment horizontal="center" vertical="top" wrapText="1"/>
    </xf>
    <xf numFmtId="0" fontId="3" fillId="2" borderId="0" xfId="0" applyFont="1" applyFill="1" applyAlignment="1">
      <alignment horizontal="center" vertical="center"/>
    </xf>
    <xf numFmtId="0" fontId="3" fillId="2" borderId="0" xfId="0" applyFont="1" applyFill="1" applyAlignment="1">
      <alignment horizontal="center" vertical="top"/>
    </xf>
    <xf numFmtId="0" fontId="0" fillId="9" borderId="0" xfId="0" applyFill="1" applyAlignment="1">
      <alignment horizontal="left" vertical="top" wrapText="1"/>
    </xf>
    <xf numFmtId="0" fontId="22" fillId="2" borderId="0" xfId="0" applyFont="1" applyFill="1" applyAlignment="1">
      <alignment horizontal="center"/>
    </xf>
    <xf numFmtId="0" fontId="23" fillId="5" borderId="0" xfId="0" applyFont="1" applyFill="1"/>
    <xf numFmtId="0" fontId="23" fillId="10" borderId="0" xfId="0" applyFont="1" applyFill="1"/>
    <xf numFmtId="0" fontId="23" fillId="2" borderId="0" xfId="0" applyFont="1" applyFill="1"/>
    <xf numFmtId="0" fontId="24" fillId="7" borderId="0" xfId="0" applyFont="1" applyFill="1" applyAlignment="1">
      <alignment horizontal="left" vertical="top" wrapText="1"/>
    </xf>
    <xf numFmtId="0" fontId="24" fillId="9" borderId="0" xfId="0" applyFont="1" applyFill="1" applyAlignment="1">
      <alignment horizontal="left" vertical="top" wrapText="1"/>
    </xf>
  </cellXfs>
  <cellStyles count="2">
    <cellStyle name="Normal" xfId="0" builtinId="0"/>
    <cellStyle name="Porcentaje" xfId="1" builtinId="5"/>
  </cellStyles>
  <dxfs count="34">
    <dxf>
      <font>
        <strike val="0"/>
        <outline val="0"/>
        <shadow val="0"/>
        <u val="none"/>
        <vertAlign val="baseline"/>
        <sz val="9"/>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11"/>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11"/>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11"/>
        <color theme="1"/>
        <name val="Calibri"/>
        <family val="2"/>
        <scheme val="minor"/>
      </font>
      <numFmt numFmtId="13" formatCode="0%"/>
      <alignment horizontal="left" vertical="top" textRotation="0" wrapText="0" indent="0" justifyLastLine="0" shrinkToFit="0" readingOrder="0"/>
    </dxf>
    <dxf>
      <font>
        <strike val="0"/>
        <outline val="0"/>
        <shadow val="0"/>
        <u val="none"/>
        <vertAlign val="baseline"/>
        <sz val="9"/>
        <color theme="1"/>
        <name val="Calibri"/>
        <family val="2"/>
        <scheme val="minor"/>
      </font>
      <numFmt numFmtId="13" formatCode="0%"/>
      <alignment horizontal="left" vertical="top" textRotation="0" wrapText="0" indent="0" justifyLastLine="0" shrinkToFit="0" readingOrder="0"/>
    </dxf>
    <dxf>
      <font>
        <b/>
        <strike val="0"/>
        <outline val="0"/>
        <shadow val="0"/>
        <u val="none"/>
        <vertAlign val="baseline"/>
        <sz val="14"/>
        <color theme="1"/>
        <name val="Calibri"/>
        <family val="2"/>
        <scheme val="minor"/>
      </font>
      <numFmt numFmtId="13" formatCode="0%"/>
      <alignment horizontal="center" vertical="center" textRotation="0" wrapText="0" indent="0" justifyLastLine="0" shrinkToFit="0" readingOrder="0"/>
    </dxf>
    <dxf>
      <font>
        <b/>
        <strike val="0"/>
        <outline val="0"/>
        <shadow val="0"/>
        <u val="none"/>
        <vertAlign val="baseline"/>
        <sz val="14"/>
        <color theme="1"/>
        <name val="Calibri"/>
        <family val="2"/>
        <scheme val="minor"/>
      </font>
      <numFmt numFmtId="13" formatCode="0%"/>
      <alignment horizontal="center" vertical="center" textRotation="0" wrapText="0" indent="0" justifyLastLine="0" shrinkToFit="0" readingOrder="0"/>
    </dxf>
    <dxf>
      <font>
        <strike val="0"/>
        <outline val="0"/>
        <shadow val="0"/>
        <u val="none"/>
        <vertAlign val="baseline"/>
        <sz val="9"/>
        <color theme="1"/>
        <name val="Calibri"/>
        <family val="2"/>
        <scheme val="minor"/>
      </font>
      <alignment horizontal="left" vertical="top" textRotation="0" wrapText="0" indent="0" justifyLastLine="0" shrinkToFit="0" readingOrder="0"/>
    </dxf>
    <dxf>
      <font>
        <strike val="0"/>
        <outline val="0"/>
        <shadow val="0"/>
        <u val="none"/>
        <vertAlign val="baseline"/>
        <sz val="9"/>
        <color theme="1"/>
        <name val="Calibri"/>
        <family val="2"/>
        <scheme val="minor"/>
      </font>
      <alignment horizontal="left" vertical="top" textRotation="0" wrapText="1" indent="0" justifyLastLine="0" shrinkToFit="0" readingOrder="0"/>
    </dxf>
    <dxf>
      <font>
        <b/>
        <strike val="0"/>
        <outline val="0"/>
        <shadow val="0"/>
        <u val="none"/>
        <vertAlign val="baseline"/>
        <sz val="9"/>
        <color theme="1"/>
        <name val="Calibri"/>
        <family val="2"/>
        <scheme val="minor"/>
      </font>
      <alignment horizontal="left" vertical="top" textRotation="0" wrapText="0" indent="0" justifyLastLine="0" shrinkToFit="0" readingOrder="0"/>
    </dxf>
    <dxf>
      <font>
        <strike val="0"/>
        <outline val="0"/>
        <shadow val="0"/>
        <u val="none"/>
        <vertAlign val="baseline"/>
        <sz val="9"/>
        <color theme="1"/>
        <name val="Calibri"/>
        <family val="2"/>
        <scheme val="minor"/>
      </font>
      <alignment horizontal="left" vertical="top" textRotation="0" wrapText="0" indent="0" justifyLastLine="0" shrinkToFit="0" readingOrder="0"/>
    </dxf>
    <dxf>
      <alignment horizontal="center" vertical="center" textRotation="0" wrapText="1" indent="0" justifyLastLine="0" shrinkToFit="0" readingOrder="0"/>
    </dxf>
    <dxf>
      <font>
        <b/>
        <strike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dxf>
    <dxf>
      <font>
        <strike val="0"/>
        <outline val="0"/>
        <shadow val="0"/>
        <u val="none"/>
        <vertAlign val="baseline"/>
        <sz val="9"/>
        <color theme="1"/>
        <name val="Calibri"/>
        <family val="2"/>
        <scheme val="minor"/>
      </font>
      <alignment horizontal="left" vertical="top" textRotation="0" wrapText="1" indent="0" justifyLastLine="0" shrinkToFit="0" readingOrder="0"/>
    </dxf>
    <dxf>
      <font>
        <strike val="0"/>
        <outline val="0"/>
        <shadow val="0"/>
        <u val="none"/>
        <vertAlign val="baseline"/>
        <sz val="10"/>
        <color theme="1"/>
        <name val="Calibri"/>
        <family val="2"/>
        <scheme val="minor"/>
      </font>
      <alignment horizontal="left" vertical="top" textRotation="0" wrapText="1" indent="0" justifyLastLine="0" shrinkToFit="0" readingOrder="0"/>
    </dxf>
    <dxf>
      <font>
        <strike val="0"/>
        <outline val="0"/>
        <shadow val="0"/>
        <u val="none"/>
        <vertAlign val="baseline"/>
        <sz val="10"/>
        <color theme="1"/>
        <name val="Calibri"/>
        <family val="2"/>
        <scheme val="minor"/>
      </font>
      <alignment horizontal="left" vertical="top" textRotation="0" wrapText="1" indent="0" justifyLastLine="0" shrinkToFit="0" readingOrder="0"/>
    </dxf>
    <dxf>
      <font>
        <b/>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dxf>
    <dxf>
      <alignment horizontal="center" vertical="center" textRotation="0" wrapText="0"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9"/>
        <color auto="1"/>
        <name val="Century Gothic"/>
        <family val="2"/>
        <scheme val="none"/>
      </font>
      <fill>
        <patternFill patternType="solid">
          <fgColor theme="0" tint="-0.14999847407452621"/>
          <bgColor theme="0" tint="-0.14999847407452621"/>
        </patternFill>
      </fill>
    </dxf>
    <dxf>
      <font>
        <b val="0"/>
        <i val="0"/>
        <strike val="0"/>
        <condense val="0"/>
        <extend val="0"/>
        <outline val="0"/>
        <shadow val="0"/>
        <u val="none"/>
        <vertAlign val="baseline"/>
        <sz val="10"/>
        <color theme="1"/>
        <name val="Century Gothic"/>
        <family val="2"/>
        <scheme val="none"/>
      </font>
      <alignment horizontal="center" vertical="center" textRotation="0" wrapText="0" indent="0" justifyLastLine="0" shrinkToFit="0" readingOrder="0"/>
    </dxf>
    <dxf>
      <font>
        <strike val="0"/>
        <outline val="0"/>
        <shadow val="0"/>
        <u val="none"/>
        <vertAlign val="baseline"/>
        <sz val="9"/>
        <color theme="1"/>
        <name val="Century Gothic"/>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entury Gothic"/>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9"/>
        <color theme="1"/>
        <name val="Century Gothic"/>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entury Gothic"/>
        <family val="2"/>
        <scheme val="none"/>
      </font>
    </dxf>
    <dxf>
      <font>
        <strike val="0"/>
        <outline val="0"/>
        <shadow val="0"/>
        <u val="none"/>
        <vertAlign val="baseline"/>
        <sz val="9"/>
        <color theme="1"/>
        <name val="Century Gothic"/>
        <family val="2"/>
        <scheme val="none"/>
      </font>
    </dxf>
    <dxf>
      <font>
        <b/>
        <i val="0"/>
        <strike val="0"/>
        <condense val="0"/>
        <extend val="0"/>
        <outline val="0"/>
        <shadow val="0"/>
        <u val="none"/>
        <vertAlign val="baseline"/>
        <sz val="10"/>
        <color theme="1"/>
        <name val="Century Gothic"/>
        <family val="2"/>
        <scheme val="none"/>
      </font>
      <alignment horizontal="center" vertical="center" textRotation="0" wrapText="0" indent="0" justifyLastLine="0" shrinkToFit="0" readingOrder="0"/>
    </dxf>
    <dxf>
      <font>
        <b/>
        <strike val="0"/>
        <outline val="0"/>
        <shadow val="0"/>
        <u val="none"/>
        <vertAlign val="baseline"/>
        <sz val="9"/>
        <color theme="1"/>
        <name val="Century Gothic"/>
        <family val="2"/>
        <scheme val="none"/>
      </font>
      <alignment horizontal="center" vertical="center" textRotation="0" wrapText="0" indent="0" justifyLastLine="0" shrinkToFit="0" readingOrder="0"/>
    </dxf>
    <dxf>
      <font>
        <strike val="0"/>
        <outline val="0"/>
        <shadow val="0"/>
        <u val="none"/>
        <vertAlign val="baseline"/>
        <sz val="9"/>
        <color theme="1"/>
        <name val="Century Gothic"/>
        <family val="2"/>
        <scheme val="none"/>
      </font>
    </dxf>
    <dxf>
      <font>
        <strike val="0"/>
        <outline val="0"/>
        <shadow val="0"/>
        <u val="none"/>
        <vertAlign val="baseline"/>
        <color theme="1"/>
        <name val="Century Gothic"/>
        <family val="2"/>
        <scheme val="none"/>
      </font>
      <alignment horizontal="center" vertical="center" textRotation="0" wrapText="0" indent="0" justifyLastLine="0" shrinkToFit="0" readingOrder="0"/>
    </dxf>
  </dxfs>
  <tableStyles count="0" defaultTableStyle="TableStyleMedium2" defaultPivotStyle="PivotStyleLight16"/>
  <colors>
    <mruColors>
      <color rgb="FFFFFF00"/>
      <color rgb="FF66FFCC"/>
      <color rgb="FF0066FF"/>
      <color rgb="FFFFCCFF"/>
      <color rgb="FFFF00FF"/>
      <color rgb="FF9999FF"/>
      <color rgb="FF33CCFF"/>
      <color rgb="FF00FF00"/>
      <color rgb="FFFFCC66"/>
      <color rgb="FF0AE5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0"/>
          <c:order val="0"/>
          <c:tx>
            <c:strRef>
              <c:f>'Etapa 4. Tablero de control'!$A$8:$B$8</c:f>
              <c:strCache>
                <c:ptCount val="2"/>
                <c:pt idx="0">
                  <c:v>Financiera</c:v>
                </c:pt>
                <c:pt idx="1">
                  <c:v>Incrementar % de rentabilidad</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5DE-435A-855C-47E70287D76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5DE-435A-855C-47E70287D7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'Etapa 4. Tablero de control'!$D$7:$E$7</c:f>
              <c:strCache>
                <c:ptCount val="2"/>
                <c:pt idx="0">
                  <c:v>Avance Actual</c:v>
                </c:pt>
                <c:pt idx="1">
                  <c:v>Meta propuesta</c:v>
                </c:pt>
              </c:strCache>
            </c:strRef>
          </c:cat>
          <c:val>
            <c:numRef>
              <c:f>'Etapa 4. Tablero de control'!$D$8:$E$8</c:f>
              <c:numCache>
                <c:formatCode>0%</c:formatCode>
                <c:ptCount val="2"/>
                <c:pt idx="0">
                  <c:v>0.12559999999999999</c:v>
                </c:pt>
                <c:pt idx="1">
                  <c:v>0.5</c:v>
                </c:pt>
              </c:numCache>
            </c:numRef>
          </c:val>
          <c:extLst>
            <c:ext xmlns:c16="http://schemas.microsoft.com/office/drawing/2014/chart" uri="{C3380CC4-5D6E-409C-BE32-E72D297353CC}">
              <c16:uniqueId val="{00000004-C5DE-435A-855C-47E70287D76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Aumentar el ingreso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'Etapa 4. Tablero de control'!$D$7</c:f>
              <c:strCache>
                <c:ptCount val="1"/>
                <c:pt idx="0">
                  <c:v>Avance Actual</c:v>
                </c:pt>
              </c:strCache>
            </c:strRef>
          </c:tx>
          <c:spPr>
            <a:solidFill>
              <a:schemeClr val="accent2">
                <a:shade val="76000"/>
              </a:schemeClr>
            </a:solidFill>
            <a:ln>
              <a:noFill/>
            </a:ln>
            <a:effectLst/>
            <a:sp3d/>
          </c:spPr>
          <c:invertIfNegative val="0"/>
          <c:cat>
            <c:multiLvlStrRef>
              <c:f>('Etapa 4. Tablero de control'!$A$9:$B$9,'Etapa 4. Tablero de control'!$D$9:$E$9)</c:f>
              <c:multiLvlStrCache>
                <c:ptCount val="2"/>
                <c:lvl>
                  <c:pt idx="0">
                    <c:v>Aumentar ingreso de ventas</c:v>
                  </c:pt>
                  <c:pt idx="1">
                    <c:v>20%</c:v>
                  </c:pt>
                </c:lvl>
                <c:lvl>
                  <c:pt idx="0">
                    <c:v>Financiera</c:v>
                  </c:pt>
                  <c:pt idx="1">
                    <c:v>14%</c:v>
                  </c:pt>
                </c:lvl>
              </c:multiLvlStrCache>
            </c:multiLvlStrRef>
          </c:cat>
          <c:val>
            <c:numRef>
              <c:f>'Etapa 4. Tablero de control'!$D$9</c:f>
              <c:numCache>
                <c:formatCode>0%</c:formatCode>
                <c:ptCount val="1"/>
                <c:pt idx="0">
                  <c:v>0.14280000000000001</c:v>
                </c:pt>
              </c:numCache>
            </c:numRef>
          </c:val>
          <c:extLst>
            <c:ext xmlns:c16="http://schemas.microsoft.com/office/drawing/2014/chart" uri="{C3380CC4-5D6E-409C-BE32-E72D297353CC}">
              <c16:uniqueId val="{00000000-1C27-47D3-9396-D7BC943E6181}"/>
            </c:ext>
          </c:extLst>
        </c:ser>
        <c:ser>
          <c:idx val="1"/>
          <c:order val="1"/>
          <c:tx>
            <c:strRef>
              <c:f>'Etapa 4. Tablero de control'!$E$7</c:f>
              <c:strCache>
                <c:ptCount val="1"/>
                <c:pt idx="0">
                  <c:v>Meta propuesta</c:v>
                </c:pt>
              </c:strCache>
            </c:strRef>
          </c:tx>
          <c:spPr>
            <a:solidFill>
              <a:schemeClr val="accent2">
                <a:tint val="77000"/>
              </a:schemeClr>
            </a:solidFill>
            <a:ln>
              <a:noFill/>
            </a:ln>
            <a:effectLst/>
            <a:sp3d/>
          </c:spPr>
          <c:invertIfNegative val="0"/>
          <c:cat>
            <c:multiLvlStrRef>
              <c:f>('Etapa 4. Tablero de control'!$A$9:$B$9,'Etapa 4. Tablero de control'!$D$9:$E$9)</c:f>
              <c:multiLvlStrCache>
                <c:ptCount val="2"/>
                <c:lvl>
                  <c:pt idx="0">
                    <c:v>Aumentar ingreso de ventas</c:v>
                  </c:pt>
                  <c:pt idx="1">
                    <c:v>20%</c:v>
                  </c:pt>
                </c:lvl>
                <c:lvl>
                  <c:pt idx="0">
                    <c:v>Financiera</c:v>
                  </c:pt>
                  <c:pt idx="1">
                    <c:v>14%</c:v>
                  </c:pt>
                </c:lvl>
              </c:multiLvlStrCache>
            </c:multiLvlStrRef>
          </c:cat>
          <c:val>
            <c:numRef>
              <c:f>'Etapa 4. Tablero de control'!$E$9</c:f>
              <c:numCache>
                <c:formatCode>0%</c:formatCode>
                <c:ptCount val="1"/>
                <c:pt idx="0">
                  <c:v>0.2</c:v>
                </c:pt>
              </c:numCache>
            </c:numRef>
          </c:val>
          <c:extLst>
            <c:ext xmlns:c16="http://schemas.microsoft.com/office/drawing/2014/chart" uri="{C3380CC4-5D6E-409C-BE32-E72D297353CC}">
              <c16:uniqueId val="{00000001-1C27-47D3-9396-D7BC943E6181}"/>
            </c:ext>
          </c:extLst>
        </c:ser>
        <c:dLbls>
          <c:showLegendKey val="0"/>
          <c:showVal val="0"/>
          <c:showCatName val="0"/>
          <c:showSerName val="0"/>
          <c:showPercent val="0"/>
          <c:showBubbleSize val="0"/>
        </c:dLbls>
        <c:gapWidth val="150"/>
        <c:shape val="box"/>
        <c:axId val="374304688"/>
        <c:axId val="82662704"/>
        <c:axId val="0"/>
      </c:bar3DChart>
      <c:catAx>
        <c:axId val="37430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2662704"/>
        <c:crosses val="autoZero"/>
        <c:auto val="1"/>
        <c:lblAlgn val="ctr"/>
        <c:lblOffset val="100"/>
        <c:noMultiLvlLbl val="0"/>
      </c:catAx>
      <c:valAx>
        <c:axId val="82662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74304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Fidelizacion</a:t>
            </a:r>
            <a:r>
              <a:rPr lang="es-MX" baseline="0"/>
              <a:t> de los clientes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c:v>
          </c:tx>
          <c:spPr>
            <a:solidFill>
              <a:srgbClr val="92D050"/>
            </a:solidFill>
            <a:ln>
              <a:solidFill>
                <a:schemeClr val="tx1"/>
              </a:solid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val>
            <c:numRef>
              <c:f>'Etapa 4. Tablero de control'!$D$10</c:f>
              <c:numCache>
                <c:formatCode>0%</c:formatCode>
                <c:ptCount val="1"/>
                <c:pt idx="0">
                  <c:v>0.3</c:v>
                </c:pt>
              </c:numCache>
            </c:numRef>
          </c:val>
          <c:extLst>
            <c:ext xmlns:c16="http://schemas.microsoft.com/office/drawing/2014/chart" uri="{C3380CC4-5D6E-409C-BE32-E72D297353CC}">
              <c16:uniqueId val="{00000000-502C-4F19-84C1-76DCDF8647E2}"/>
            </c:ext>
          </c:extLst>
        </c:ser>
        <c:ser>
          <c:idx val="1"/>
          <c:order val="1"/>
          <c:tx>
            <c:v>Meta propuesta</c:v>
          </c:tx>
          <c:spPr>
            <a:solidFill>
              <a:srgbClr val="FFFF00"/>
            </a:solidFill>
            <a:ln>
              <a:solidFill>
                <a:sysClr val="windowText" lastClr="000000"/>
              </a:solid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val>
            <c:numRef>
              <c:f>'Etapa 4. Tablero de control'!$E$10</c:f>
              <c:numCache>
                <c:formatCode>0%</c:formatCode>
                <c:ptCount val="1"/>
                <c:pt idx="0">
                  <c:v>0.85</c:v>
                </c:pt>
              </c:numCache>
            </c:numRef>
          </c:val>
          <c:extLst>
            <c:ext xmlns:c16="http://schemas.microsoft.com/office/drawing/2014/chart" uri="{C3380CC4-5D6E-409C-BE32-E72D297353CC}">
              <c16:uniqueId val="{00000001-502C-4F19-84C1-76DCDF8647E2}"/>
            </c:ext>
          </c:extLst>
        </c:ser>
        <c:dLbls>
          <c:dLblPos val="outEnd"/>
          <c:showLegendKey val="0"/>
          <c:showVal val="1"/>
          <c:showCatName val="0"/>
          <c:showSerName val="0"/>
          <c:showPercent val="0"/>
          <c:showBubbleSize val="0"/>
        </c:dLbls>
        <c:gapWidth val="219"/>
        <c:overlap val="-27"/>
        <c:axId val="460310975"/>
        <c:axId val="1794390607"/>
      </c:barChart>
      <c:catAx>
        <c:axId val="4603109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94390607"/>
        <c:crosses val="autoZero"/>
        <c:auto val="1"/>
        <c:lblAlgn val="ctr"/>
        <c:lblOffset val="100"/>
        <c:noMultiLvlLbl val="0"/>
      </c:catAx>
      <c:valAx>
        <c:axId val="1794390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Porcentaje</a:t>
                </a:r>
                <a:r>
                  <a:rPr lang="es-MX" baseline="0"/>
                  <a:t> de la meta anual</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603109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Incrementar</a:t>
            </a:r>
            <a:r>
              <a:rPr lang="es-MX" baseline="0"/>
              <a:t> eficiencia del proceso</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7.6381889763779534E-2"/>
          <c:y val="0.14856481481481484"/>
          <c:w val="0.67117585301837268"/>
          <c:h val="0.62271617089530473"/>
        </c:manualLayout>
      </c:layout>
      <c:barChart>
        <c:barDir val="bar"/>
        <c:grouping val="clustered"/>
        <c:varyColors val="0"/>
        <c:ser>
          <c:idx val="0"/>
          <c:order val="0"/>
          <c:tx>
            <c:v>Meta actual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control'!$D$11</c:f>
              <c:numCache>
                <c:formatCode>0%</c:formatCode>
                <c:ptCount val="1"/>
                <c:pt idx="0">
                  <c:v>0.4</c:v>
                </c:pt>
              </c:numCache>
            </c:numRef>
          </c:val>
          <c:extLst>
            <c:ext xmlns:c16="http://schemas.microsoft.com/office/drawing/2014/chart" uri="{C3380CC4-5D6E-409C-BE32-E72D297353CC}">
              <c16:uniqueId val="{00000000-1E77-4EB2-BA9C-553BFE3FBBCD}"/>
            </c:ext>
          </c:extLst>
        </c:ser>
        <c:ser>
          <c:idx val="1"/>
          <c:order val="1"/>
          <c:tx>
            <c:v>Meta propuesta</c:v>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1E77-4EB2-BA9C-553BFE3FBB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control'!$E$11</c:f>
              <c:numCache>
                <c:formatCode>0%</c:formatCode>
                <c:ptCount val="1"/>
                <c:pt idx="0">
                  <c:v>0.92</c:v>
                </c:pt>
              </c:numCache>
            </c:numRef>
          </c:val>
          <c:extLst>
            <c:ext xmlns:c16="http://schemas.microsoft.com/office/drawing/2014/chart" uri="{C3380CC4-5D6E-409C-BE32-E72D297353CC}">
              <c16:uniqueId val="{00000003-1E77-4EB2-BA9C-553BFE3FBBCD}"/>
            </c:ext>
          </c:extLst>
        </c:ser>
        <c:dLbls>
          <c:showLegendKey val="0"/>
          <c:showVal val="0"/>
          <c:showCatName val="0"/>
          <c:showSerName val="0"/>
          <c:showPercent val="0"/>
          <c:showBubbleSize val="0"/>
        </c:dLbls>
        <c:gapWidth val="150"/>
        <c:axId val="540794463"/>
        <c:axId val="1794397327"/>
      </c:barChart>
      <c:catAx>
        <c:axId val="54079446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Mensual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majorTickMark val="none"/>
        <c:minorTickMark val="none"/>
        <c:tickLblPos val="nextTo"/>
        <c:crossAx val="1794397327"/>
        <c:crosses val="autoZero"/>
        <c:auto val="1"/>
        <c:lblAlgn val="ctr"/>
        <c:lblOffset val="100"/>
        <c:noMultiLvlLbl val="0"/>
      </c:catAx>
      <c:valAx>
        <c:axId val="17943973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t>
                </a:r>
                <a:r>
                  <a:rPr lang="es-MX" baseline="0"/>
                  <a:t> de la meta a cumplir </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4079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Control</a:t>
            </a:r>
            <a:r>
              <a:rPr lang="es-MX" baseline="0"/>
              <a:t> de calidad para reduccion de defectos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65525237111553"/>
          <c:y val="0.16766312862018964"/>
          <c:w val="0.69993483109363208"/>
          <c:h val="0.60097365597211705"/>
        </c:manualLayout>
      </c:layout>
      <c:bar3DChart>
        <c:barDir val="col"/>
        <c:grouping val="clustered"/>
        <c:varyColors val="0"/>
        <c:ser>
          <c:idx val="0"/>
          <c:order val="0"/>
          <c:tx>
            <c:v>Avance actual </c:v>
          </c:tx>
          <c:spPr>
            <a:solidFill>
              <a:srgbClr val="0AE5F6"/>
            </a:solidFill>
            <a:ln>
              <a:solidFill>
                <a:schemeClr val="accent1"/>
              </a:solidFill>
            </a:ln>
            <a:effectLst/>
            <a:sp3d>
              <a:contourClr>
                <a:schemeClr val="accent1"/>
              </a:contourClr>
            </a:sp3d>
          </c:spPr>
          <c:invertIfNegative val="0"/>
          <c:dLbls>
            <c:dLbl>
              <c:idx val="0"/>
              <c:layout>
                <c:manualLayout>
                  <c:x val="-5.0925337632079971E-17"/>
                  <c:y val="0.13486147564887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3E-4973-BC99-22C0467DC2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control'!$D$12</c:f>
              <c:numCache>
                <c:formatCode>0%</c:formatCode>
                <c:ptCount val="1"/>
                <c:pt idx="0">
                  <c:v>0.01</c:v>
                </c:pt>
              </c:numCache>
            </c:numRef>
          </c:val>
          <c:extLst>
            <c:ext xmlns:c16="http://schemas.microsoft.com/office/drawing/2014/chart" uri="{C3380CC4-5D6E-409C-BE32-E72D297353CC}">
              <c16:uniqueId val="{00000001-043E-4973-BC99-22C0467DC243}"/>
            </c:ext>
          </c:extLst>
        </c:ser>
        <c:ser>
          <c:idx val="1"/>
          <c:order val="1"/>
          <c:tx>
            <c:v>Meta propuesta </c:v>
          </c:tx>
          <c:spPr>
            <a:solidFill>
              <a:schemeClr val="bg1">
                <a:lumMod val="75000"/>
              </a:schemeClr>
            </a:solidFill>
            <a:ln>
              <a:solidFill>
                <a:schemeClr val="accent1"/>
              </a:solidFill>
            </a:ln>
            <a:effectLst>
              <a:innerShdw blurRad="114300">
                <a:prstClr val="black"/>
              </a:innerShdw>
            </a:effectLst>
            <a:sp3d>
              <a:contourClr>
                <a:schemeClr val="accent1"/>
              </a:contourClr>
            </a:sp3d>
          </c:spPr>
          <c:invertIfNegative val="0"/>
          <c:dLbls>
            <c:dLbl>
              <c:idx val="0"/>
              <c:layout>
                <c:manualLayout>
                  <c:x val="-5.5555555555556572E-3"/>
                  <c:y val="0.14035724701079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3E-4973-BC99-22C0467DC2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control'!$E$12</c:f>
              <c:numCache>
                <c:formatCode>0%</c:formatCode>
                <c:ptCount val="1"/>
                <c:pt idx="0">
                  <c:v>0.01</c:v>
                </c:pt>
              </c:numCache>
            </c:numRef>
          </c:val>
          <c:extLst>
            <c:ext xmlns:c16="http://schemas.microsoft.com/office/drawing/2014/chart" uri="{C3380CC4-5D6E-409C-BE32-E72D297353CC}">
              <c16:uniqueId val="{00000003-043E-4973-BC99-22C0467DC243}"/>
            </c:ext>
          </c:extLst>
        </c:ser>
        <c:dLbls>
          <c:showLegendKey val="0"/>
          <c:showVal val="1"/>
          <c:showCatName val="0"/>
          <c:showSerName val="0"/>
          <c:showPercent val="0"/>
          <c:showBubbleSize val="0"/>
        </c:dLbls>
        <c:gapWidth val="150"/>
        <c:shape val="box"/>
        <c:axId val="540777759"/>
        <c:axId val="1794357007"/>
        <c:axId val="0"/>
      </c:bar3DChart>
      <c:catAx>
        <c:axId val="540777759"/>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94357007"/>
        <c:crosses val="autoZero"/>
        <c:auto val="1"/>
        <c:lblAlgn val="ctr"/>
        <c:lblOffset val="100"/>
        <c:noMultiLvlLbl val="0"/>
      </c:catAx>
      <c:valAx>
        <c:axId val="1794357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t>
                </a:r>
                <a:r>
                  <a:rPr lang="es-MX" baseline="0"/>
                  <a:t> mensual de la meta </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407777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Reducir</a:t>
            </a:r>
            <a:r>
              <a:rPr lang="es-MX" baseline="0"/>
              <a:t> el tiempo de ciclo</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v>Avance actual </c:v>
          </c:tx>
          <c:spPr>
            <a:solidFill>
              <a:srgbClr val="00FF00"/>
            </a:solidFill>
            <a:ln>
              <a:noFill/>
            </a:ln>
            <a:effectLst>
              <a:glow rad="228600">
                <a:schemeClr val="accent4">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control'!$D$13</c:f>
              <c:numCache>
                <c:formatCode>0</c:formatCode>
                <c:ptCount val="1"/>
                <c:pt idx="0">
                  <c:v>135</c:v>
                </c:pt>
              </c:numCache>
            </c:numRef>
          </c:val>
          <c:extLst>
            <c:ext xmlns:c16="http://schemas.microsoft.com/office/drawing/2014/chart" uri="{C3380CC4-5D6E-409C-BE32-E72D297353CC}">
              <c16:uniqueId val="{00000000-40DE-455A-AC16-29FD529FE6EC}"/>
            </c:ext>
          </c:extLst>
        </c:ser>
        <c:ser>
          <c:idx val="1"/>
          <c:order val="1"/>
          <c:tx>
            <c:v>Meta Propuesta </c:v>
          </c:tx>
          <c:spPr>
            <a:solidFill>
              <a:srgbClr val="33CCFF"/>
            </a:solidFill>
            <a:ln>
              <a:noFill/>
            </a:ln>
            <a:effectLst>
              <a:glow rad="228600">
                <a:schemeClr val="accent6">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control'!$E$13</c:f>
              <c:numCache>
                <c:formatCode>0%</c:formatCode>
                <c:ptCount val="1"/>
                <c:pt idx="0">
                  <c:v>20</c:v>
                </c:pt>
              </c:numCache>
            </c:numRef>
          </c:val>
          <c:extLst>
            <c:ext xmlns:c16="http://schemas.microsoft.com/office/drawing/2014/chart" uri="{C3380CC4-5D6E-409C-BE32-E72D297353CC}">
              <c16:uniqueId val="{00000001-40DE-455A-AC16-29FD529FE6EC}"/>
            </c:ext>
          </c:extLst>
        </c:ser>
        <c:dLbls>
          <c:dLblPos val="outEnd"/>
          <c:showLegendKey val="0"/>
          <c:showVal val="1"/>
          <c:showCatName val="0"/>
          <c:showSerName val="0"/>
          <c:showPercent val="0"/>
          <c:showBubbleSize val="0"/>
        </c:dLbls>
        <c:gapWidth val="219"/>
        <c:overlap val="-27"/>
        <c:axId val="459257919"/>
        <c:axId val="1794351727"/>
      </c:barChart>
      <c:catAx>
        <c:axId val="459257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t>
                </a:r>
                <a:r>
                  <a:rPr lang="es-MX" baseline="0"/>
                  <a:t> de cumplimiento</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94351727"/>
        <c:crosses val="autoZero"/>
        <c:auto val="1"/>
        <c:lblAlgn val="ctr"/>
        <c:lblOffset val="100"/>
        <c:noMultiLvlLbl val="0"/>
      </c:catAx>
      <c:valAx>
        <c:axId val="179435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Minutos</a:t>
                </a:r>
                <a:r>
                  <a:rPr lang="es-MX" baseline="0"/>
                  <a:t> anuales</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59257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Capacitacion</a:t>
            </a:r>
            <a:r>
              <a:rPr lang="es-MX" baseline="0"/>
              <a:t> total del personal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Avance Actual </c:v>
          </c:tx>
          <c:spPr>
            <a:solidFill>
              <a:schemeClr val="accent1"/>
            </a:solidFill>
            <a:ln>
              <a:noFill/>
            </a:ln>
            <a:effectLst/>
            <a:sp3d/>
          </c:spPr>
          <c:invertIfNegative val="0"/>
          <c:dPt>
            <c:idx val="0"/>
            <c:invertIfNegative val="0"/>
            <c:bubble3D val="0"/>
            <c:spPr>
              <a:solidFill>
                <a:srgbClr val="9999FF"/>
              </a:solidFill>
              <a:ln>
                <a:noFill/>
              </a:ln>
              <a:effectLst/>
              <a:sp3d/>
            </c:spPr>
            <c:extLst>
              <c:ext xmlns:c16="http://schemas.microsoft.com/office/drawing/2014/chart" uri="{C3380CC4-5D6E-409C-BE32-E72D297353CC}">
                <c16:uniqueId val="{00000001-F6C8-4093-A6E9-62303BC8F66A}"/>
              </c:ext>
            </c:extLst>
          </c:dPt>
          <c:dLbls>
            <c:dLbl>
              <c:idx val="0"/>
              <c:layout>
                <c:manualLayout>
                  <c:x val="3.6111111111111011E-2"/>
                  <c:y val="-1.053514144065325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C8-4093-A6E9-62303BC8F6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control'!$D$14</c:f>
              <c:numCache>
                <c:formatCode>0%</c:formatCode>
                <c:ptCount val="1"/>
                <c:pt idx="0">
                  <c:v>2.25</c:v>
                </c:pt>
              </c:numCache>
            </c:numRef>
          </c:val>
          <c:extLst>
            <c:ext xmlns:c16="http://schemas.microsoft.com/office/drawing/2014/chart" uri="{C3380CC4-5D6E-409C-BE32-E72D297353CC}">
              <c16:uniqueId val="{00000002-F6C8-4093-A6E9-62303BC8F66A}"/>
            </c:ext>
          </c:extLst>
        </c:ser>
        <c:ser>
          <c:idx val="1"/>
          <c:order val="1"/>
          <c:tx>
            <c:v>Meta propuesta </c:v>
          </c:tx>
          <c:spPr>
            <a:solidFill>
              <a:srgbClr val="FF00FF"/>
            </a:solidFill>
            <a:ln>
              <a:noFill/>
            </a:ln>
            <a:effectLst/>
            <a:sp3d/>
          </c:spPr>
          <c:invertIfNegative val="0"/>
          <c:dLbls>
            <c:dLbl>
              <c:idx val="0"/>
              <c:layout>
                <c:manualLayout>
                  <c:x val="3.3333333333333333E-2"/>
                  <c:y val="-4.1254738990959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C8-4093-A6E9-62303BC8F6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control'!$E$14</c:f>
              <c:numCache>
                <c:formatCode>0%</c:formatCode>
                <c:ptCount val="1"/>
                <c:pt idx="0">
                  <c:v>1</c:v>
                </c:pt>
              </c:numCache>
            </c:numRef>
          </c:val>
          <c:extLst>
            <c:ext xmlns:c16="http://schemas.microsoft.com/office/drawing/2014/chart" uri="{C3380CC4-5D6E-409C-BE32-E72D297353CC}">
              <c16:uniqueId val="{00000004-F6C8-4093-A6E9-62303BC8F66A}"/>
            </c:ext>
          </c:extLst>
        </c:ser>
        <c:dLbls>
          <c:showLegendKey val="0"/>
          <c:showVal val="1"/>
          <c:showCatName val="0"/>
          <c:showSerName val="0"/>
          <c:showPercent val="0"/>
          <c:showBubbleSize val="0"/>
        </c:dLbls>
        <c:gapWidth val="150"/>
        <c:shape val="box"/>
        <c:axId val="1965948799"/>
        <c:axId val="1794365647"/>
        <c:axId val="0"/>
      </c:bar3DChart>
      <c:catAx>
        <c:axId val="19659487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Capacitacion</a:t>
                </a:r>
                <a:r>
                  <a:rPr lang="es-MX" baseline="0"/>
                  <a:t> anual</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majorTickMark val="none"/>
        <c:minorTickMark val="none"/>
        <c:tickLblPos val="nextTo"/>
        <c:crossAx val="1794365647"/>
        <c:crosses val="autoZero"/>
        <c:auto val="1"/>
        <c:lblAlgn val="ctr"/>
        <c:lblOffset val="100"/>
        <c:noMultiLvlLbl val="0"/>
      </c:catAx>
      <c:valAx>
        <c:axId val="17943656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t>
                </a:r>
                <a:r>
                  <a:rPr lang="es-MX" baseline="0"/>
                  <a:t> Sobre el Avance Actual </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6594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Indice</a:t>
            </a:r>
            <a:r>
              <a:rPr lang="es-MX" baseline="0"/>
              <a:t> de rotacion menor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v>Avance Actual</c:v>
          </c:tx>
          <c:spPr>
            <a:solidFill>
              <a:srgbClr val="FFCC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control'!$D$15</c:f>
              <c:numCache>
                <c:formatCode>0%</c:formatCode>
                <c:ptCount val="1"/>
                <c:pt idx="0">
                  <c:v>0.18260000000000001</c:v>
                </c:pt>
              </c:numCache>
            </c:numRef>
          </c:val>
          <c:extLst>
            <c:ext xmlns:c16="http://schemas.microsoft.com/office/drawing/2014/chart" uri="{C3380CC4-5D6E-409C-BE32-E72D297353CC}">
              <c16:uniqueId val="{00000000-DEA8-42C3-8304-B34A903F96BD}"/>
            </c:ext>
          </c:extLst>
        </c:ser>
        <c:ser>
          <c:idx val="1"/>
          <c:order val="1"/>
          <c:tx>
            <c:v>Meta Propuesta</c:v>
          </c:tx>
          <c:spPr>
            <a:solidFill>
              <a:srgbClr val="FF00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control'!$E$15</c:f>
              <c:numCache>
                <c:formatCode>0%</c:formatCode>
                <c:ptCount val="1"/>
                <c:pt idx="0">
                  <c:v>0.02</c:v>
                </c:pt>
              </c:numCache>
            </c:numRef>
          </c:val>
          <c:extLst>
            <c:ext xmlns:c16="http://schemas.microsoft.com/office/drawing/2014/chart" uri="{C3380CC4-5D6E-409C-BE32-E72D297353CC}">
              <c16:uniqueId val="{00000001-DEA8-42C3-8304-B34A903F96BD}"/>
            </c:ext>
          </c:extLst>
        </c:ser>
        <c:dLbls>
          <c:showLegendKey val="0"/>
          <c:showVal val="1"/>
          <c:showCatName val="0"/>
          <c:showSerName val="0"/>
          <c:showPercent val="0"/>
          <c:showBubbleSize val="0"/>
        </c:dLbls>
        <c:gapWidth val="150"/>
        <c:shape val="box"/>
        <c:axId val="1965908431"/>
        <c:axId val="1794413647"/>
        <c:axId val="0"/>
      </c:bar3DChart>
      <c:catAx>
        <c:axId val="1965908431"/>
        <c:scaling>
          <c:orientation val="minMax"/>
        </c:scaling>
        <c:delete val="1"/>
        <c:axPos val="l"/>
        <c:majorTickMark val="none"/>
        <c:minorTickMark val="none"/>
        <c:tickLblPos val="nextTo"/>
        <c:crossAx val="1794413647"/>
        <c:crosses val="autoZero"/>
        <c:auto val="1"/>
        <c:lblAlgn val="ctr"/>
        <c:lblOffset val="100"/>
        <c:noMultiLvlLbl val="0"/>
      </c:catAx>
      <c:valAx>
        <c:axId val="17944136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65908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Incrementar</a:t>
            </a:r>
            <a:r>
              <a:rPr lang="es-MX" baseline="0"/>
              <a:t> inversion en herramientas para los dptos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v>Avance actual </c:v>
          </c:tx>
          <c:spPr>
            <a:solidFill>
              <a:srgbClr val="66F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'Etapa 4. Tablero de control'!$D$16</c:f>
              <c:numCache>
                <c:formatCode>0</c:formatCode>
                <c:ptCount val="1"/>
                <c:pt idx="0">
                  <c:v>7000000</c:v>
                </c:pt>
              </c:numCache>
            </c:numRef>
          </c:val>
          <c:extLst>
            <c:ext xmlns:c16="http://schemas.microsoft.com/office/drawing/2014/chart" uri="{C3380CC4-5D6E-409C-BE32-E72D297353CC}">
              <c16:uniqueId val="{00000000-8BB0-4D68-8D79-734B6A01E626}"/>
            </c:ext>
          </c:extLst>
        </c:ser>
        <c:ser>
          <c:idx val="1"/>
          <c:order val="1"/>
          <c:tx>
            <c:v>Meta propuesta </c:v>
          </c:tx>
          <c:spPr>
            <a:solidFill>
              <a:srgbClr val="FFFF00"/>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tTriangle">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'Etapa 4. Tablero de control'!$E$16</c:f>
              <c:numCache>
                <c:formatCode>0%</c:formatCode>
                <c:ptCount val="1"/>
                <c:pt idx="0">
                  <c:v>0.2</c:v>
                </c:pt>
              </c:numCache>
            </c:numRef>
          </c:val>
          <c:extLst>
            <c:ext xmlns:c16="http://schemas.microsoft.com/office/drawing/2014/chart" uri="{C3380CC4-5D6E-409C-BE32-E72D297353CC}">
              <c16:uniqueId val="{00000001-8BB0-4D68-8D79-734B6A01E626}"/>
            </c:ext>
          </c:extLst>
        </c:ser>
        <c:dLbls>
          <c:dLblPos val="ctr"/>
          <c:showLegendKey val="0"/>
          <c:showVal val="1"/>
          <c:showCatName val="0"/>
          <c:showSerName val="0"/>
          <c:showPercent val="0"/>
          <c:showBubbleSize val="0"/>
        </c:dLbls>
        <c:gapWidth val="150"/>
        <c:overlap val="100"/>
        <c:axId val="1963391407"/>
        <c:axId val="1794368527"/>
      </c:barChart>
      <c:catAx>
        <c:axId val="196339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t>
                </a:r>
                <a:r>
                  <a:rPr lang="es-MX" baseline="0"/>
                  <a:t> utilizado de la inversion </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94368527"/>
        <c:crosses val="autoZero"/>
        <c:auto val="1"/>
        <c:lblAlgn val="ctr"/>
        <c:lblOffset val="100"/>
        <c:noMultiLvlLbl val="0"/>
      </c:catAx>
      <c:valAx>
        <c:axId val="1794368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Valor</a:t>
                </a:r>
                <a:r>
                  <a:rPr lang="es-MX" baseline="0"/>
                  <a:t> de la inversion</a:t>
                </a:r>
                <a:endParaRPr lang="es-MX"/>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63391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11</xdr:col>
      <xdr:colOff>433821</xdr:colOff>
      <xdr:row>7</xdr:row>
      <xdr:rowOff>157594</xdr:rowOff>
    </xdr:from>
    <xdr:to>
      <xdr:col>14</xdr:col>
      <xdr:colOff>332509</xdr:colOff>
      <xdr:row>24</xdr:row>
      <xdr:rowOff>173181</xdr:rowOff>
    </xdr:to>
    <mc:AlternateContent xmlns:mc="http://schemas.openxmlformats.org/markup-compatibility/2006">
      <mc:Choice xmlns:sle15="http://schemas.microsoft.com/office/drawing/2012/slicer" Requires="sle15">
        <xdr:graphicFrame macro="">
          <xdr:nvGraphicFramePr>
            <xdr:cNvPr id="3" name="Categoría 1">
              <a:extLst>
                <a:ext uri="{FF2B5EF4-FFF2-40B4-BE49-F238E27FC236}">
                  <a16:creationId xmlns:a16="http://schemas.microsoft.com/office/drawing/2014/main" id="{E5B1A733-07DC-49E5-9108-987AF062A83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ía 1"/>
            </a:graphicData>
          </a:graphic>
        </xdr:graphicFrame>
      </mc:Choice>
      <mc:Fallback>
        <xdr:sp macro="" textlink="">
          <xdr:nvSpPr>
            <xdr:cNvPr id="0" name=""/>
            <xdr:cNvSpPr>
              <a:spLocks noTextEdit="1"/>
            </xdr:cNvSpPr>
          </xdr:nvSpPr>
          <xdr:spPr>
            <a:xfrm>
              <a:off x="9130146" y="1643494"/>
              <a:ext cx="2270413" cy="3092162"/>
            </a:xfrm>
            <a:prstGeom prst="rect">
              <a:avLst/>
            </a:prstGeom>
            <a:solidFill>
              <a:prstClr val="white"/>
            </a:solidFill>
            <a:ln w="1">
              <a:solidFill>
                <a:prstClr val="green"/>
              </a:solidFill>
            </a:ln>
          </xdr:spPr>
          <xdr:txBody>
            <a:bodyPr vertOverflow="clip" horzOverflow="clip"/>
            <a:lstStyle/>
            <a:p>
              <a:r>
                <a:rPr lang="es-MX"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xdr:from>
      <xdr:col>0</xdr:col>
      <xdr:colOff>0</xdr:colOff>
      <xdr:row>7</xdr:row>
      <xdr:rowOff>129886</xdr:rowOff>
    </xdr:from>
    <xdr:to>
      <xdr:col>4</xdr:col>
      <xdr:colOff>580159</xdr:colOff>
      <xdr:row>21</xdr:row>
      <xdr:rowOff>181842</xdr:rowOff>
    </xdr:to>
    <xdr:graphicFrame macro="">
      <xdr:nvGraphicFramePr>
        <xdr:cNvPr id="5" name="Gráfico 4">
          <a:extLst>
            <a:ext uri="{FF2B5EF4-FFF2-40B4-BE49-F238E27FC236}">
              <a16:creationId xmlns:a16="http://schemas.microsoft.com/office/drawing/2014/main" id="{4BA4FE50-A320-444E-AEC1-946C77F72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701386</xdr:colOff>
      <xdr:row>7</xdr:row>
      <xdr:rowOff>121228</xdr:rowOff>
    </xdr:from>
    <xdr:to>
      <xdr:col>9</xdr:col>
      <xdr:colOff>424295</xdr:colOff>
      <xdr:row>21</xdr:row>
      <xdr:rowOff>173183</xdr:rowOff>
    </xdr:to>
    <xdr:graphicFrame macro="">
      <xdr:nvGraphicFramePr>
        <xdr:cNvPr id="6" name="Gráfico 5">
          <a:extLst>
            <a:ext uri="{FF2B5EF4-FFF2-40B4-BE49-F238E27FC236}">
              <a16:creationId xmlns:a16="http://schemas.microsoft.com/office/drawing/2014/main" id="{84BDA53B-95F2-471D-B9DC-8A857E5DF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117071</xdr:colOff>
      <xdr:row>25</xdr:row>
      <xdr:rowOff>107026</xdr:rowOff>
    </xdr:from>
    <xdr:to>
      <xdr:col>5</xdr:col>
      <xdr:colOff>740526</xdr:colOff>
      <xdr:row>41</xdr:row>
      <xdr:rowOff>86591</xdr:rowOff>
    </xdr:to>
    <xdr:graphicFrame macro="">
      <xdr:nvGraphicFramePr>
        <xdr:cNvPr id="9" name="Gráfico 7">
          <a:extLst>
            <a:ext uri="{FF2B5EF4-FFF2-40B4-BE49-F238E27FC236}">
              <a16:creationId xmlns:a16="http://schemas.microsoft.com/office/drawing/2014/main" id="{1541D2EC-E88A-303C-F7D7-03F166813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44</xdr:row>
      <xdr:rowOff>118802</xdr:rowOff>
    </xdr:from>
    <xdr:to>
      <xdr:col>5</xdr:col>
      <xdr:colOff>609600</xdr:colOff>
      <xdr:row>59</xdr:row>
      <xdr:rowOff>13855</xdr:rowOff>
    </xdr:to>
    <xdr:graphicFrame macro="">
      <xdr:nvGraphicFramePr>
        <xdr:cNvPr id="10" name="Gráfico 8">
          <a:extLst>
            <a:ext uri="{FF2B5EF4-FFF2-40B4-BE49-F238E27FC236}">
              <a16:creationId xmlns:a16="http://schemas.microsoft.com/office/drawing/2014/main" id="{5B81DE6B-49DA-468E-31A9-2B0F8F4F5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20782</xdr:colOff>
      <xdr:row>44</xdr:row>
      <xdr:rowOff>124691</xdr:rowOff>
    </xdr:from>
    <xdr:to>
      <xdr:col>11</xdr:col>
      <xdr:colOff>755073</xdr:colOff>
      <xdr:row>59</xdr:row>
      <xdr:rowOff>31172</xdr:rowOff>
    </xdr:to>
    <xdr:graphicFrame macro="">
      <xdr:nvGraphicFramePr>
        <xdr:cNvPr id="11" name="Gráfico 10">
          <a:extLst>
            <a:ext uri="{FF2B5EF4-FFF2-40B4-BE49-F238E27FC236}">
              <a16:creationId xmlns:a16="http://schemas.microsoft.com/office/drawing/2014/main" id="{7DF6C690-CF73-29E9-D1A5-9FA6AD748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144779</xdr:colOff>
      <xdr:row>44</xdr:row>
      <xdr:rowOff>68579</xdr:rowOff>
    </xdr:from>
    <xdr:to>
      <xdr:col>17</xdr:col>
      <xdr:colOff>710044</xdr:colOff>
      <xdr:row>59</xdr:row>
      <xdr:rowOff>66848</xdr:rowOff>
    </xdr:to>
    <xdr:graphicFrame macro="">
      <xdr:nvGraphicFramePr>
        <xdr:cNvPr id="12" name="Gráfico 12">
          <a:extLst>
            <a:ext uri="{FF2B5EF4-FFF2-40B4-BE49-F238E27FC236}">
              <a16:creationId xmlns:a16="http://schemas.microsoft.com/office/drawing/2014/main" id="{E6B21FC2-14C3-434C-73EA-5921EC1CE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304800</xdr:colOff>
      <xdr:row>63</xdr:row>
      <xdr:rowOff>3810</xdr:rowOff>
    </xdr:from>
    <xdr:to>
      <xdr:col>6</xdr:col>
      <xdr:colOff>121920</xdr:colOff>
      <xdr:row>78</xdr:row>
      <xdr:rowOff>3810</xdr:rowOff>
    </xdr:to>
    <xdr:graphicFrame macro="">
      <xdr:nvGraphicFramePr>
        <xdr:cNvPr id="13" name="Gráfico 13">
          <a:extLst>
            <a:ext uri="{FF2B5EF4-FFF2-40B4-BE49-F238E27FC236}">
              <a16:creationId xmlns:a16="http://schemas.microsoft.com/office/drawing/2014/main" id="{65C87EEA-6028-8DBA-BFEE-2B9F30BCB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441960</xdr:colOff>
      <xdr:row>62</xdr:row>
      <xdr:rowOff>163830</xdr:rowOff>
    </xdr:from>
    <xdr:to>
      <xdr:col>12</xdr:col>
      <xdr:colOff>259080</xdr:colOff>
      <xdr:row>77</xdr:row>
      <xdr:rowOff>163830</xdr:rowOff>
    </xdr:to>
    <xdr:graphicFrame macro="">
      <xdr:nvGraphicFramePr>
        <xdr:cNvPr id="14" name="Gráfico 15">
          <a:extLst>
            <a:ext uri="{FF2B5EF4-FFF2-40B4-BE49-F238E27FC236}">
              <a16:creationId xmlns:a16="http://schemas.microsoft.com/office/drawing/2014/main" id="{DBCBC590-7D13-73AC-40DB-66CB7AE55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464820</xdr:colOff>
      <xdr:row>62</xdr:row>
      <xdr:rowOff>152400</xdr:rowOff>
    </xdr:from>
    <xdr:to>
      <xdr:col>18</xdr:col>
      <xdr:colOff>487680</xdr:colOff>
      <xdr:row>78</xdr:row>
      <xdr:rowOff>137160</xdr:rowOff>
    </xdr:to>
    <xdr:graphicFrame macro="">
      <xdr:nvGraphicFramePr>
        <xdr:cNvPr id="15" name="Gráfico 19">
          <a:extLst>
            <a:ext uri="{FF2B5EF4-FFF2-40B4-BE49-F238E27FC236}">
              <a16:creationId xmlns:a16="http://schemas.microsoft.com/office/drawing/2014/main" id="{6393FB6E-9FF4-01DB-35D2-3AAB2B74F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 xr10:uid="{F4DFA943-7D51-412D-9201-B4F1A629238F}" sourceName="Objetivo">
  <extLst>
    <x:ext xmlns:x15="http://schemas.microsoft.com/office/spreadsheetml/2010/11/main" uri="{2F2917AC-EB37-4324-AD4E-5DD8C200BD13}">
      <x15:tableSlicerCache tableId="6"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ía 1" xr10:uid="{B6B28B6A-AC4A-42DE-B2BB-00670B2B7F43}" cache="SegmentaciónDeDatos_Categoría" caption="Objetivo"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D2D14A-B679-4B3F-BD31-6F5322BE53E0}" name="Etapa1Analisis" displayName="Etapa1Analisis" ref="A7:D16" headerRowDxfId="33" dataDxfId="32">
  <autoFilter ref="A7:D16" xr:uid="{3AD2D14A-B679-4B3F-BD31-6F5322BE53E0}">
    <filterColumn colId="0" hiddenButton="1"/>
    <filterColumn colId="1" hiddenButton="1"/>
    <filterColumn colId="2" hiddenButton="1"/>
    <filterColumn colId="3" hiddenButton="1"/>
  </autoFilter>
  <tableColumns count="4">
    <tableColumn id="1" xr3:uid="{57C90093-B8BA-4EA3-B903-12B9BF0BBE74}" name="ID" totalsRowLabel="Total" dataDxfId="31" totalsRowDxfId="30"/>
    <tableColumn id="2" xr3:uid="{A5DC259D-36FA-4180-8461-DE013A2CAAA9}" name="Descripción de objetivo" dataDxfId="29" totalsRowDxfId="28"/>
    <tableColumn id="3" xr3:uid="{5EBBF8E3-F3A5-45D3-990D-200A1DFAED88}" name="Meta" dataDxfId="27" totalsRowDxfId="26" dataCellStyle="Porcentaje"/>
    <tableColumn id="4" xr3:uid="{F699ADE2-DACC-42A3-B27A-54984FE28F66}" name="Medición" dataDxfId="25" totalsRowDxfId="24"/>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C634F-351D-46A5-B40F-6DFE3F05596E}" name="Listadeobjetivos" displayName="Listadeobjetivos" ref="B18:C27" totalsRowShown="0" headerRowDxfId="23" dataDxfId="22">
  <autoFilter ref="B18:C27" xr:uid="{A69C634F-351D-46A5-B40F-6DFE3F05596E}">
    <filterColumn colId="0" hiddenButton="1"/>
    <filterColumn colId="1" hiddenButton="1"/>
  </autoFilter>
  <tableColumns count="2">
    <tableColumn id="1" xr3:uid="{D7C61123-679C-4BCA-AD4F-53B2E4596ADC}" name="Listado de Objetivos (No modificar)" dataDxfId="21"/>
    <tableColumn id="2" xr3:uid="{79DC9F80-B53F-4129-A1E2-44141273A093}" name="Indicador" dataDxfId="2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8D7656-8FC9-4E7C-AD2B-D88AD8B5A63E}" name="Tabla5" displayName="Tabla5" ref="A9:F18" totalsRowShown="0" headerRowDxfId="19" dataDxfId="18">
  <autoFilter ref="A9:F18" xr:uid="{638D7656-8FC9-4E7C-AD2B-D88AD8B5A63E}">
    <filterColumn colId="0" hiddenButton="1"/>
    <filterColumn colId="1" hiddenButton="1"/>
    <filterColumn colId="2" hiddenButton="1"/>
    <filterColumn colId="3" hiddenButton="1"/>
    <filterColumn colId="4" hiddenButton="1"/>
    <filterColumn colId="5" hiddenButton="1"/>
  </autoFilter>
  <tableColumns count="6">
    <tableColumn id="1" xr3:uid="{F2357866-1FEA-494A-AF1E-EC0A68693434}" name="ID" dataDxfId="17"/>
    <tableColumn id="2" xr3:uid="{545A2BCB-225C-4A5C-85F7-9FF3B35888AB}" name="Categoría" dataDxfId="16"/>
    <tableColumn id="3" xr3:uid="{263A820E-A4D7-48A0-8EA9-11C9488AB62F}" name="Objetivo-Descripción" dataDxfId="15"/>
    <tableColumn id="4" xr3:uid="{4E8CD589-8A14-4D77-8C9E-6707FB4355B2}" name="Indicador" dataDxfId="14">
      <calculatedColumnFormula>VLOOKUP(Tabla5[[#This Row],[Objetivo-Descripción]],Listadeobjetivos[],2,FALSE)</calculatedColumnFormula>
    </tableColumn>
    <tableColumn id="6" xr3:uid="{51A1249F-CBB9-437F-9668-2EFF09C5ACD9}" name="Unidad de medida" dataDxfId="13"/>
    <tableColumn id="5" xr3:uid="{9B835AC8-A06E-4715-9140-D5AA45EB1875}" name=" " dataDxfId="12" dataCellStyle="Porcentaje"/>
  </tableColumns>
  <tableStyleInfo name="TableStyleMedium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BC8FBA-676B-4C5D-B119-3DD2D10498EF}" name="Tablerodecontrol" displayName="Tablerodecontrol" ref="A7:J16" totalsRowShown="0" headerRowDxfId="11" dataDxfId="10">
  <autoFilter ref="A7:J16" xr:uid="{A9BC8FBA-676B-4C5D-B119-3DD2D10498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D673082-80CB-402E-AEBD-4827818E7D07}" name="Categoría" dataDxfId="9">
      <calculatedColumnFormula>'Etapa 3. Objetivos Relevantes'!B10</calculatedColumnFormula>
    </tableColumn>
    <tableColumn id="2" xr3:uid="{08A97B55-5862-4D78-BABC-C770BD5AD0A9}" name="Objetivo" dataDxfId="8">
      <calculatedColumnFormula>'Etapa 3. Objetivos Relevantes'!C10</calculatedColumnFormula>
    </tableColumn>
    <tableColumn id="3" xr3:uid="{A5CF32A9-354A-4D0C-8747-73A1A2E06A48}" name="Unidad de Medida" dataDxfId="7">
      <calculatedColumnFormula>'Etapa 3. Objetivos Relevantes'!E10</calculatedColumnFormula>
    </tableColumn>
    <tableColumn id="4" xr3:uid="{6D17A49B-F9B8-46E7-BD8D-B6A28199DB9F}" name="Avance Actual" dataDxfId="6" dataCellStyle="Porcentaje">
      <calculatedColumnFormula>'Etapa 3. Objetivos Relevantes'!F10</calculatedColumnFormula>
    </tableColumn>
    <tableColumn id="12" xr3:uid="{893EC68C-D7D7-4C63-B9A0-3D1D4B91D96B}" name="Meta propuesta" dataDxfId="5" dataCellStyle="Porcentaje">
      <calculatedColumnFormula>'Etapa 1. Análisis Ext. e Int.'!C8</calculatedColumnFormula>
    </tableColumn>
    <tableColumn id="5" xr3:uid="{A8AC0053-66BF-4BD0-B21D-B9F3A8DB82F1}" name="Medición" dataDxfId="4" dataCellStyle="Porcentaje">
      <calculatedColumnFormula>'Etapa 1. Análisis Ext. e Int.'!D8</calculatedColumnFormula>
    </tableColumn>
    <tableColumn id="7" xr3:uid="{90F421D5-374D-4703-89DA-EC759C6A4A57}" name="Óptimo" dataDxfId="3"/>
    <tableColumn id="8" xr3:uid="{8C5D431C-65FF-43F5-9DE8-D74AA490EE9B}" name="Suficiente" dataDxfId="2"/>
    <tableColumn id="9" xr3:uid="{E6A0A9FE-3F56-436F-8389-7AA1F247FADE}" name="Deficiente" dataDxfId="1"/>
    <tableColumn id="10" xr3:uid="{C2D1775A-E2A8-4A94-86E0-34BD7DF5B436}" name="Responsable / Encargado" dataDxfId="0"/>
  </tableColumns>
  <tableStyleInfo name="TableStyleMedium21"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07E0-9F10-4B82-BC3B-DCF6106EB73A}">
  <sheetPr>
    <tabColor theme="6" tint="0.59999389629810485"/>
  </sheetPr>
  <dimension ref="A1:C32"/>
  <sheetViews>
    <sheetView workbookViewId="0">
      <selection activeCell="G34" sqref="G34"/>
    </sheetView>
  </sheetViews>
  <sheetFormatPr baseColWidth="10" defaultRowHeight="14.4" x14ac:dyDescent="0.3"/>
  <sheetData>
    <row r="1" spans="1:3" ht="18.600000000000001" x14ac:dyDescent="0.3">
      <c r="A1" s="38" t="s">
        <v>45</v>
      </c>
      <c r="B1" s="38"/>
      <c r="C1" s="38"/>
    </row>
    <row r="2" spans="1:3" x14ac:dyDescent="0.3">
      <c r="A2" s="7"/>
      <c r="B2" s="7"/>
      <c r="C2" s="7"/>
    </row>
    <row r="3" spans="1:3" x14ac:dyDescent="0.3">
      <c r="A3" s="7"/>
      <c r="B3" s="7"/>
      <c r="C3" s="7"/>
    </row>
    <row r="4" spans="1:3" x14ac:dyDescent="0.3">
      <c r="A4" s="7"/>
      <c r="B4" s="7"/>
      <c r="C4" s="7"/>
    </row>
    <row r="5" spans="1:3" x14ac:dyDescent="0.3">
      <c r="A5" s="7"/>
      <c r="B5" s="7"/>
      <c r="C5" s="7"/>
    </row>
    <row r="6" spans="1:3" x14ac:dyDescent="0.3">
      <c r="A6" s="7"/>
      <c r="B6" s="7"/>
      <c r="C6" s="7"/>
    </row>
    <row r="7" spans="1:3" x14ac:dyDescent="0.3">
      <c r="A7" s="7"/>
      <c r="B7" s="7"/>
      <c r="C7" s="7"/>
    </row>
    <row r="8" spans="1:3" x14ac:dyDescent="0.3">
      <c r="A8" s="7"/>
      <c r="B8" s="7"/>
      <c r="C8" s="7"/>
    </row>
    <row r="9" spans="1:3" x14ac:dyDescent="0.3">
      <c r="A9" s="7"/>
      <c r="B9" s="7"/>
      <c r="C9" s="7"/>
    </row>
    <row r="10" spans="1:3" x14ac:dyDescent="0.3">
      <c r="A10" s="7"/>
      <c r="B10" s="7"/>
      <c r="C10" s="7"/>
    </row>
    <row r="11" spans="1:3" x14ac:dyDescent="0.3">
      <c r="A11" s="7"/>
      <c r="B11" s="7"/>
      <c r="C11" s="7"/>
    </row>
    <row r="12" spans="1:3" x14ac:dyDescent="0.3">
      <c r="A12" s="7"/>
      <c r="B12" s="7"/>
      <c r="C12" s="7"/>
    </row>
    <row r="13" spans="1:3" x14ac:dyDescent="0.3">
      <c r="A13" s="7"/>
      <c r="B13" s="7"/>
      <c r="C13" s="7"/>
    </row>
    <row r="14" spans="1:3" x14ac:dyDescent="0.3">
      <c r="A14" s="7"/>
      <c r="B14" s="7"/>
      <c r="C14" s="7"/>
    </row>
    <row r="15" spans="1:3" x14ac:dyDescent="0.3">
      <c r="A15" s="6" t="s">
        <v>57</v>
      </c>
      <c r="B15" s="7"/>
      <c r="C15" s="7"/>
    </row>
    <row r="16" spans="1:3" x14ac:dyDescent="0.3">
      <c r="A16" s="7" t="s">
        <v>58</v>
      </c>
      <c r="B16" s="7"/>
      <c r="C16" s="7"/>
    </row>
    <row r="17" spans="1:3" x14ac:dyDescent="0.3">
      <c r="A17" s="7" t="s">
        <v>59</v>
      </c>
      <c r="B17" s="7"/>
      <c r="C17" s="7"/>
    </row>
    <row r="18" spans="1:3" x14ac:dyDescent="0.3">
      <c r="A18" s="7" t="s">
        <v>60</v>
      </c>
      <c r="B18" s="7"/>
      <c r="C18" s="7"/>
    </row>
    <row r="19" spans="1:3" x14ac:dyDescent="0.3">
      <c r="A19" s="7" t="s">
        <v>61</v>
      </c>
      <c r="B19" s="7"/>
      <c r="C19" s="7"/>
    </row>
    <row r="20" spans="1:3" x14ac:dyDescent="0.3">
      <c r="B20" s="7"/>
      <c r="C20" s="7"/>
    </row>
    <row r="21" spans="1:3" x14ac:dyDescent="0.3">
      <c r="B21" s="7"/>
      <c r="C21" s="7"/>
    </row>
    <row r="22" spans="1:3" x14ac:dyDescent="0.3">
      <c r="B22" s="7"/>
      <c r="C22" s="7"/>
    </row>
    <row r="23" spans="1:3" x14ac:dyDescent="0.3">
      <c r="A23" s="7"/>
      <c r="B23" s="7"/>
      <c r="C23" s="7"/>
    </row>
    <row r="24" spans="1:3" x14ac:dyDescent="0.3">
      <c r="B24" s="7"/>
      <c r="C24" s="7"/>
    </row>
    <row r="25" spans="1:3" x14ac:dyDescent="0.3">
      <c r="A25" s="7" t="s">
        <v>46</v>
      </c>
      <c r="B25" s="7"/>
      <c r="C25" s="7"/>
    </row>
    <row r="26" spans="1:3" x14ac:dyDescent="0.3">
      <c r="A26" s="7" t="s">
        <v>47</v>
      </c>
      <c r="B26" s="7"/>
      <c r="C26" s="7"/>
    </row>
    <row r="27" spans="1:3" x14ac:dyDescent="0.3">
      <c r="A27" s="7" t="s">
        <v>48</v>
      </c>
      <c r="B27" s="7"/>
      <c r="C27" s="7"/>
    </row>
    <row r="28" spans="1:3" x14ac:dyDescent="0.3">
      <c r="A28" s="7" t="s">
        <v>49</v>
      </c>
      <c r="B28" s="7"/>
      <c r="C28" s="7"/>
    </row>
    <row r="29" spans="1:3" x14ac:dyDescent="0.3">
      <c r="A29" s="7" t="s">
        <v>50</v>
      </c>
      <c r="B29" s="7"/>
      <c r="C29" s="7"/>
    </row>
    <row r="30" spans="1:3" x14ac:dyDescent="0.3">
      <c r="A30" s="7" t="s">
        <v>51</v>
      </c>
      <c r="B30" s="7"/>
      <c r="C30" s="7"/>
    </row>
    <row r="31" spans="1:3" x14ac:dyDescent="0.3">
      <c r="A31" s="7"/>
      <c r="B31" s="7"/>
      <c r="C31" s="7"/>
    </row>
    <row r="32" spans="1:3" x14ac:dyDescent="0.3">
      <c r="A32" s="7"/>
      <c r="B32" s="7"/>
      <c r="C32" s="7"/>
    </row>
  </sheetData>
  <mergeCells count="1">
    <mergeCell ref="A1:C1"/>
  </mergeCells>
  <pageMargins left="0.25" right="0.25" top="0.75" bottom="0.75" header="0.3" footer="0.3"/>
  <pageSetup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7032-B5E9-42E4-AB55-318F7C0FD9E8}">
  <sheetPr>
    <tabColor theme="4" tint="0.59999389629810485"/>
  </sheetPr>
  <dimension ref="A1:F15"/>
  <sheetViews>
    <sheetView zoomScale="120" zoomScaleNormal="120" workbookViewId="0">
      <selection activeCell="B6" sqref="B6:E14"/>
    </sheetView>
  </sheetViews>
  <sheetFormatPr baseColWidth="10" defaultRowHeight="14.4" x14ac:dyDescent="0.3"/>
  <cols>
    <col min="1" max="1" width="11.5546875" customWidth="1"/>
    <col min="2" max="2" width="28.5546875" bestFit="1" customWidth="1"/>
    <col min="3" max="3" width="23.44140625" bestFit="1" customWidth="1"/>
    <col min="4" max="4" width="28.5546875" bestFit="1" customWidth="1"/>
    <col min="5" max="5" width="20.6640625" bestFit="1" customWidth="1"/>
  </cols>
  <sheetData>
    <row r="1" spans="1:6" ht="18.600000000000001" x14ac:dyDescent="0.3">
      <c r="A1" s="38" t="s">
        <v>55</v>
      </c>
      <c r="B1" s="38"/>
      <c r="C1" s="38"/>
    </row>
    <row r="2" spans="1:6" ht="15" customHeight="1" x14ac:dyDescent="0.3">
      <c r="A2" s="39" t="s">
        <v>52</v>
      </c>
      <c r="B2" s="39"/>
      <c r="C2" s="39"/>
      <c r="D2" s="39"/>
      <c r="E2" s="39"/>
      <c r="F2" s="39"/>
    </row>
    <row r="3" spans="1:6" x14ac:dyDescent="0.3">
      <c r="A3" s="39"/>
      <c r="B3" s="39"/>
      <c r="C3" s="39"/>
      <c r="D3" s="39"/>
      <c r="E3" s="39"/>
      <c r="F3" s="39"/>
    </row>
    <row r="4" spans="1:6" ht="9" customHeight="1" x14ac:dyDescent="0.3">
      <c r="A4" s="39"/>
      <c r="B4" s="39"/>
      <c r="C4" s="39"/>
      <c r="D4" s="39"/>
      <c r="E4" s="39"/>
      <c r="F4" s="39"/>
    </row>
    <row r="6" spans="1:6" x14ac:dyDescent="0.3">
      <c r="B6" s="50" t="s">
        <v>93</v>
      </c>
      <c r="C6" s="40"/>
      <c r="D6" s="40"/>
      <c r="E6" s="40"/>
    </row>
    <row r="7" spans="1:6" x14ac:dyDescent="0.3">
      <c r="B7" s="40"/>
      <c r="C7" s="40"/>
      <c r="D7" s="40"/>
      <c r="E7" s="40"/>
    </row>
    <row r="8" spans="1:6" x14ac:dyDescent="0.3">
      <c r="B8" s="40"/>
      <c r="C8" s="40"/>
      <c r="D8" s="40"/>
      <c r="E8" s="40"/>
    </row>
    <row r="9" spans="1:6" x14ac:dyDescent="0.3">
      <c r="B9" s="40"/>
      <c r="C9" s="40"/>
      <c r="D9" s="40"/>
      <c r="E9" s="40"/>
    </row>
    <row r="10" spans="1:6" x14ac:dyDescent="0.3">
      <c r="B10" s="40"/>
      <c r="C10" s="40"/>
      <c r="D10" s="40"/>
      <c r="E10" s="40"/>
    </row>
    <row r="11" spans="1:6" x14ac:dyDescent="0.3">
      <c r="B11" s="40"/>
      <c r="C11" s="40"/>
      <c r="D11" s="40"/>
      <c r="E11" s="40"/>
    </row>
    <row r="12" spans="1:6" x14ac:dyDescent="0.3">
      <c r="B12" s="40"/>
      <c r="C12" s="40"/>
      <c r="D12" s="40"/>
      <c r="E12" s="40"/>
    </row>
    <row r="13" spans="1:6" x14ac:dyDescent="0.3">
      <c r="B13" s="40"/>
      <c r="C13" s="40"/>
      <c r="D13" s="40"/>
      <c r="E13" s="40"/>
    </row>
    <row r="14" spans="1:6" ht="15" thickBot="1" x14ac:dyDescent="0.35">
      <c r="B14" s="41"/>
      <c r="C14" s="41"/>
      <c r="D14" s="41"/>
      <c r="E14" s="41"/>
    </row>
    <row r="15" spans="1:6" ht="15" thickTop="1" x14ac:dyDescent="0.3"/>
  </sheetData>
  <mergeCells count="3">
    <mergeCell ref="A2:F4"/>
    <mergeCell ref="A1:C1"/>
    <mergeCell ref="B6:E14"/>
  </mergeCells>
  <pageMargins left="0.25" right="0.25" top="0.75" bottom="0.75" header="0.3" footer="0.3"/>
  <pageSetup orientation="landscape" horizontalDpi="4294967293" verticalDpi="4294967293"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52EF-FD4B-4C79-BDFE-B62C51428249}">
  <sheetPr>
    <tabColor theme="9" tint="0.79998168889431442"/>
  </sheetPr>
  <dimension ref="A1:G29"/>
  <sheetViews>
    <sheetView zoomScale="120" zoomScaleNormal="120" workbookViewId="0">
      <selection activeCell="I14" sqref="I14"/>
    </sheetView>
  </sheetViews>
  <sheetFormatPr baseColWidth="10" defaultRowHeight="14.4" x14ac:dyDescent="0.3"/>
  <cols>
    <col min="1" max="1" width="9.5546875" customWidth="1"/>
    <col min="2" max="2" width="32.5546875" customWidth="1"/>
    <col min="3" max="3" width="28.6640625" customWidth="1"/>
    <col min="4" max="4" width="29.88671875" customWidth="1"/>
    <col min="5" max="5" width="19.109375" bestFit="1" customWidth="1"/>
  </cols>
  <sheetData>
    <row r="1" spans="1:6" ht="18.600000000000001" x14ac:dyDescent="0.3">
      <c r="A1" s="35" t="s">
        <v>53</v>
      </c>
      <c r="B1" s="35"/>
      <c r="C1" s="35"/>
      <c r="D1" s="35"/>
      <c r="E1" s="35"/>
      <c r="F1" s="35"/>
    </row>
    <row r="2" spans="1:6" x14ac:dyDescent="0.3">
      <c r="A2" s="13" t="s">
        <v>81</v>
      </c>
      <c r="B2" s="13"/>
      <c r="C2" s="7"/>
      <c r="D2" s="7"/>
      <c r="E2" s="7"/>
    </row>
    <row r="3" spans="1:6" x14ac:dyDescent="0.3">
      <c r="A3" s="16">
        <v>1</v>
      </c>
      <c r="B3" s="13" t="s">
        <v>65</v>
      </c>
      <c r="C3" s="13"/>
      <c r="D3" s="13"/>
      <c r="E3" s="7"/>
    </row>
    <row r="4" spans="1:6" x14ac:dyDescent="0.3">
      <c r="A4" s="16">
        <v>2</v>
      </c>
      <c r="B4" s="13" t="s">
        <v>66</v>
      </c>
      <c r="C4" s="13"/>
      <c r="D4" s="13"/>
      <c r="E4" s="7"/>
    </row>
    <row r="5" spans="1:6" x14ac:dyDescent="0.3">
      <c r="A5" s="16">
        <v>3</v>
      </c>
      <c r="B5" s="13" t="s">
        <v>67</v>
      </c>
      <c r="C5" s="13"/>
      <c r="D5" s="13"/>
      <c r="E5" s="7"/>
    </row>
    <row r="6" spans="1:6" ht="21.6" x14ac:dyDescent="0.3">
      <c r="A6" s="7"/>
      <c r="B6" s="7"/>
      <c r="C6" s="18" t="s">
        <v>69</v>
      </c>
      <c r="D6" s="7"/>
      <c r="E6" s="7"/>
    </row>
    <row r="7" spans="1:6" x14ac:dyDescent="0.3">
      <c r="A7" s="8" t="s">
        <v>5</v>
      </c>
      <c r="B7" s="8" t="s">
        <v>6</v>
      </c>
      <c r="C7" s="8" t="s">
        <v>7</v>
      </c>
      <c r="D7" s="8" t="s">
        <v>77</v>
      </c>
    </row>
    <row r="8" spans="1:6" x14ac:dyDescent="0.3">
      <c r="A8" s="9">
        <v>1</v>
      </c>
      <c r="B8" s="1" t="s">
        <v>19</v>
      </c>
      <c r="C8" s="10">
        <v>0.5</v>
      </c>
      <c r="D8" s="11" t="s">
        <v>10</v>
      </c>
    </row>
    <row r="9" spans="1:6" x14ac:dyDescent="0.3">
      <c r="A9" s="9">
        <v>2</v>
      </c>
      <c r="B9" s="1" t="s">
        <v>63</v>
      </c>
      <c r="C9" s="10">
        <v>0.2</v>
      </c>
      <c r="D9" s="11" t="s">
        <v>10</v>
      </c>
    </row>
    <row r="10" spans="1:6" x14ac:dyDescent="0.3">
      <c r="A10" s="9">
        <v>3</v>
      </c>
      <c r="B10" s="1" t="s">
        <v>20</v>
      </c>
      <c r="C10" s="10">
        <v>0.85</v>
      </c>
      <c r="D10" s="11" t="s">
        <v>10</v>
      </c>
    </row>
    <row r="11" spans="1:6" x14ac:dyDescent="0.3">
      <c r="A11" s="9">
        <v>4</v>
      </c>
      <c r="B11" s="1" t="s">
        <v>8</v>
      </c>
      <c r="C11" s="10">
        <v>0.92</v>
      </c>
      <c r="D11" s="11" t="s">
        <v>11</v>
      </c>
    </row>
    <row r="12" spans="1:6" x14ac:dyDescent="0.3">
      <c r="A12" s="9">
        <v>5</v>
      </c>
      <c r="B12" s="1" t="s">
        <v>21</v>
      </c>
      <c r="C12" s="10">
        <v>0.01</v>
      </c>
      <c r="D12" s="11" t="s">
        <v>11</v>
      </c>
    </row>
    <row r="13" spans="1:6" x14ac:dyDescent="0.3">
      <c r="A13" s="9">
        <v>6</v>
      </c>
      <c r="B13" s="1" t="s">
        <v>9</v>
      </c>
      <c r="C13" s="12">
        <v>20</v>
      </c>
      <c r="D13" s="11" t="s">
        <v>10</v>
      </c>
    </row>
    <row r="14" spans="1:6" x14ac:dyDescent="0.3">
      <c r="A14" s="9">
        <v>7</v>
      </c>
      <c r="B14" s="1" t="s">
        <v>22</v>
      </c>
      <c r="C14" s="10">
        <v>1</v>
      </c>
      <c r="D14" s="11" t="s">
        <v>10</v>
      </c>
    </row>
    <row r="15" spans="1:6" x14ac:dyDescent="0.3">
      <c r="A15" s="9">
        <v>8</v>
      </c>
      <c r="B15" s="1" t="s">
        <v>23</v>
      </c>
      <c r="C15" s="10">
        <v>0.02</v>
      </c>
      <c r="D15" s="11" t="s">
        <v>11</v>
      </c>
    </row>
    <row r="16" spans="1:6" ht="39.6" x14ac:dyDescent="0.3">
      <c r="A16" s="9">
        <v>9</v>
      </c>
      <c r="B16" s="14" t="s">
        <v>62</v>
      </c>
      <c r="C16" s="10">
        <v>0.2</v>
      </c>
      <c r="D16" s="11" t="s">
        <v>10</v>
      </c>
    </row>
    <row r="17" spans="1:7" x14ac:dyDescent="0.3">
      <c r="A17" s="7"/>
      <c r="B17" s="7"/>
      <c r="C17" s="7"/>
      <c r="D17" s="7"/>
      <c r="E17" s="7"/>
    </row>
    <row r="18" spans="1:7" ht="15" customHeight="1" x14ac:dyDescent="0.3">
      <c r="B18" s="15" t="s">
        <v>64</v>
      </c>
      <c r="C18" s="15" t="s">
        <v>16</v>
      </c>
      <c r="D18" s="42" t="s">
        <v>54</v>
      </c>
      <c r="E18" s="42"/>
      <c r="F18" s="42"/>
      <c r="G18" s="42"/>
    </row>
    <row r="19" spans="1:7" x14ac:dyDescent="0.3">
      <c r="B19" s="19" t="s">
        <v>19</v>
      </c>
      <c r="C19" s="21" t="s">
        <v>18</v>
      </c>
      <c r="D19" s="42"/>
      <c r="E19" s="42"/>
      <c r="F19" s="42"/>
      <c r="G19" s="42"/>
    </row>
    <row r="20" spans="1:7" ht="20.399999999999999" x14ac:dyDescent="0.3">
      <c r="B20" s="20" t="s">
        <v>63</v>
      </c>
      <c r="C20" s="21" t="s">
        <v>24</v>
      </c>
      <c r="D20" s="42"/>
      <c r="E20" s="42"/>
      <c r="F20" s="42"/>
      <c r="G20" s="42"/>
    </row>
    <row r="21" spans="1:7" ht="30.6" x14ac:dyDescent="0.3">
      <c r="B21" s="20" t="s">
        <v>20</v>
      </c>
      <c r="C21" s="21" t="s">
        <v>25</v>
      </c>
      <c r="D21" s="42"/>
      <c r="E21" s="42"/>
      <c r="F21" s="42"/>
      <c r="G21" s="42"/>
    </row>
    <row r="22" spans="1:7" ht="20.399999999999999" x14ac:dyDescent="0.3">
      <c r="B22" s="20" t="s">
        <v>8</v>
      </c>
      <c r="C22" s="21" t="s">
        <v>26</v>
      </c>
      <c r="D22" s="42"/>
      <c r="E22" s="42"/>
      <c r="F22" s="42"/>
      <c r="G22" s="42"/>
    </row>
    <row r="23" spans="1:7" ht="26.4" x14ac:dyDescent="0.3">
      <c r="B23" s="19" t="s">
        <v>21</v>
      </c>
      <c r="C23" s="21" t="s">
        <v>27</v>
      </c>
      <c r="D23" s="42"/>
      <c r="E23" s="42"/>
      <c r="F23" s="42"/>
      <c r="G23" s="42"/>
    </row>
    <row r="24" spans="1:7" x14ac:dyDescent="0.3">
      <c r="B24" s="20" t="s">
        <v>9</v>
      </c>
      <c r="C24" s="21" t="s">
        <v>28</v>
      </c>
      <c r="D24" s="42"/>
      <c r="E24" s="42"/>
      <c r="F24" s="42"/>
      <c r="G24" s="42"/>
    </row>
    <row r="25" spans="1:7" ht="20.399999999999999" x14ac:dyDescent="0.3">
      <c r="B25" s="19" t="s">
        <v>22</v>
      </c>
      <c r="C25" s="21" t="s">
        <v>29</v>
      </c>
      <c r="D25" s="42"/>
      <c r="E25" s="42"/>
      <c r="F25" s="42"/>
      <c r="G25" s="42"/>
    </row>
    <row r="26" spans="1:7" x14ac:dyDescent="0.3">
      <c r="B26" s="20" t="s">
        <v>23</v>
      </c>
      <c r="C26" s="21" t="s">
        <v>30</v>
      </c>
      <c r="D26" s="42"/>
      <c r="E26" s="42"/>
      <c r="F26" s="42"/>
      <c r="G26" s="42"/>
    </row>
    <row r="27" spans="1:7" ht="39.6" x14ac:dyDescent="0.3">
      <c r="B27" s="19" t="s">
        <v>62</v>
      </c>
      <c r="C27" s="21" t="s">
        <v>31</v>
      </c>
    </row>
    <row r="29" spans="1:7" ht="156" customHeight="1" x14ac:dyDescent="0.3"/>
  </sheetData>
  <mergeCells count="2">
    <mergeCell ref="A1:F1"/>
    <mergeCell ref="D18:G26"/>
  </mergeCells>
  <dataValidations count="3">
    <dataValidation type="list" allowBlank="1" showInputMessage="1" showErrorMessage="1" promptTitle="Fecuencia" prompt="Selecciona una frecuencia" sqref="D8:D16" xr:uid="{6A25127C-CEE7-4049-86CF-9F81A1D14723}">
      <formula1>"Anual, Mensual"</formula1>
    </dataValidation>
    <dataValidation allowBlank="1" showInputMessage="1" showErrorMessage="1" promptTitle="Meta" prompt="Estableza su meta con porncentaje o valor nominal." sqref="C8:C16" xr:uid="{EEF49D28-41AD-4904-AC2E-FAF2AF18E702}"/>
    <dataValidation type="list" allowBlank="1" showInputMessage="1" showErrorMessage="1" promptTitle="Descripción de objetivo" prompt="Seleccione su objetivo" sqref="B8:B16" xr:uid="{A51B7C81-F0D0-47B4-9732-D4B8D087AD74}">
      <formula1>$B$19:$B$28</formula1>
    </dataValidation>
  </dataValidations>
  <pageMargins left="0.25" right="0.25" top="0.75" bottom="0.75" header="0.3" footer="0.3"/>
  <pageSetup scale="85" orientation="landscape" horizontalDpi="4294967293" verticalDpi="4294967293" r:id="rId1"/>
  <legacy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CB5D-3E93-428A-B53D-083B14406C20}">
  <sheetPr>
    <tabColor theme="9" tint="0.59999389629810485"/>
  </sheetPr>
  <dimension ref="A1:F27"/>
  <sheetViews>
    <sheetView zoomScaleNormal="100" workbookViewId="0">
      <selection activeCell="D6" sqref="D6"/>
    </sheetView>
  </sheetViews>
  <sheetFormatPr baseColWidth="10" defaultRowHeight="14.4" x14ac:dyDescent="0.3"/>
  <cols>
    <col min="2" max="2" width="28.5546875" bestFit="1" customWidth="1"/>
    <col min="3" max="3" width="35.5546875" customWidth="1"/>
    <col min="4" max="4" width="37.5546875" bestFit="1" customWidth="1"/>
    <col min="5" max="5" width="42.33203125" customWidth="1"/>
  </cols>
  <sheetData>
    <row r="1" spans="1:6" ht="18.600000000000001" x14ac:dyDescent="0.3">
      <c r="A1" s="35" t="s">
        <v>12</v>
      </c>
      <c r="B1" s="35"/>
      <c r="C1" s="35"/>
      <c r="D1" s="35"/>
      <c r="E1" s="35"/>
      <c r="F1" s="7"/>
    </row>
    <row r="2" spans="1:6" x14ac:dyDescent="0.3">
      <c r="A2" s="13" t="s">
        <v>81</v>
      </c>
      <c r="B2" s="13"/>
      <c r="C2" s="7"/>
      <c r="D2" s="7"/>
      <c r="E2" s="7"/>
      <c r="F2" s="7"/>
    </row>
    <row r="3" spans="1:6" x14ac:dyDescent="0.3">
      <c r="A3" s="16">
        <v>1</v>
      </c>
      <c r="B3" s="13" t="s">
        <v>68</v>
      </c>
      <c r="C3" s="7"/>
      <c r="D3" s="7"/>
      <c r="E3" s="7"/>
      <c r="F3" s="7"/>
    </row>
    <row r="4" spans="1:6" ht="15.75" customHeight="1" x14ac:dyDescent="0.3">
      <c r="A4" s="7"/>
      <c r="B4" s="7"/>
      <c r="C4" s="7"/>
      <c r="D4" s="7"/>
      <c r="E4" s="7"/>
      <c r="F4" s="7"/>
    </row>
    <row r="5" spans="1:6" ht="30" customHeight="1" x14ac:dyDescent="0.3">
      <c r="A5" s="36" t="s">
        <v>4</v>
      </c>
      <c r="B5" s="5" t="s">
        <v>1</v>
      </c>
      <c r="C5" s="17" t="s">
        <v>19</v>
      </c>
      <c r="D5" s="17" t="s">
        <v>63</v>
      </c>
      <c r="E5" s="17" t="s">
        <v>9</v>
      </c>
      <c r="F5" s="7"/>
    </row>
    <row r="6" spans="1:6" ht="30" customHeight="1" x14ac:dyDescent="0.3">
      <c r="A6" s="36"/>
      <c r="B6" s="5" t="s">
        <v>0</v>
      </c>
      <c r="C6" s="17" t="s">
        <v>20</v>
      </c>
      <c r="D6" s="17" t="s">
        <v>9</v>
      </c>
      <c r="E6" s="17" t="s">
        <v>63</v>
      </c>
      <c r="F6" s="7"/>
    </row>
    <row r="7" spans="1:6" ht="30" customHeight="1" x14ac:dyDescent="0.3">
      <c r="A7" s="36"/>
      <c r="B7" s="5" t="s">
        <v>2</v>
      </c>
      <c r="C7" s="17" t="s">
        <v>8</v>
      </c>
      <c r="D7" s="17" t="s">
        <v>9</v>
      </c>
      <c r="E7" s="17" t="s">
        <v>21</v>
      </c>
      <c r="F7" s="7"/>
    </row>
    <row r="8" spans="1:6" ht="30" customHeight="1" x14ac:dyDescent="0.3">
      <c r="A8" s="36"/>
      <c r="B8" s="5" t="s">
        <v>3</v>
      </c>
      <c r="C8" s="17" t="s">
        <v>22</v>
      </c>
      <c r="D8" s="17" t="s">
        <v>62</v>
      </c>
      <c r="E8" s="17" t="s">
        <v>23</v>
      </c>
      <c r="F8" s="7"/>
    </row>
    <row r="9" spans="1:6" x14ac:dyDescent="0.3">
      <c r="A9" s="7"/>
      <c r="B9" s="7"/>
      <c r="C9" s="7"/>
      <c r="D9" s="7"/>
      <c r="E9" s="7"/>
      <c r="F9" s="7"/>
    </row>
    <row r="10" spans="1:6" x14ac:dyDescent="0.3">
      <c r="A10" s="7"/>
      <c r="B10" s="7"/>
      <c r="C10" s="7"/>
      <c r="D10" s="7"/>
      <c r="E10" s="7"/>
      <c r="F10" s="7"/>
    </row>
    <row r="11" spans="1:6" x14ac:dyDescent="0.3">
      <c r="A11" s="7"/>
      <c r="B11" s="7"/>
      <c r="C11" s="7"/>
      <c r="D11" s="7"/>
      <c r="E11" s="7"/>
      <c r="F11" s="7"/>
    </row>
    <row r="12" spans="1:6" x14ac:dyDescent="0.3">
      <c r="A12" s="7"/>
      <c r="B12" s="7"/>
      <c r="C12" s="7"/>
      <c r="D12" s="37" t="s">
        <v>56</v>
      </c>
      <c r="E12" s="37"/>
      <c r="F12" s="7"/>
    </row>
    <row r="13" spans="1:6" x14ac:dyDescent="0.3">
      <c r="A13" s="7"/>
      <c r="B13" s="7"/>
      <c r="C13" s="7"/>
      <c r="D13" s="37"/>
      <c r="E13" s="37"/>
      <c r="F13" s="7"/>
    </row>
    <row r="14" spans="1:6" x14ac:dyDescent="0.3">
      <c r="A14" s="7"/>
      <c r="B14" s="7"/>
      <c r="C14" s="7"/>
      <c r="D14" s="37"/>
      <c r="E14" s="37"/>
      <c r="F14" s="7"/>
    </row>
    <row r="15" spans="1:6" x14ac:dyDescent="0.3">
      <c r="A15" s="7"/>
      <c r="B15" s="7"/>
      <c r="C15" s="7"/>
      <c r="D15" s="37"/>
      <c r="E15" s="37"/>
      <c r="F15" s="7"/>
    </row>
    <row r="16" spans="1:6" x14ac:dyDescent="0.3">
      <c r="A16" s="7"/>
      <c r="B16" s="7"/>
      <c r="C16" s="7"/>
      <c r="D16" s="37"/>
      <c r="E16" s="37"/>
      <c r="F16" s="7"/>
    </row>
    <row r="17" spans="1:6" x14ac:dyDescent="0.3">
      <c r="A17" s="7"/>
      <c r="B17" s="7"/>
      <c r="C17" s="7"/>
      <c r="D17" s="37"/>
      <c r="E17" s="37"/>
      <c r="F17" s="7"/>
    </row>
    <row r="18" spans="1:6" x14ac:dyDescent="0.3">
      <c r="A18" s="7"/>
      <c r="B18" s="7"/>
      <c r="C18" s="7"/>
      <c r="D18" s="37"/>
      <c r="E18" s="37"/>
      <c r="F18" s="7"/>
    </row>
    <row r="19" spans="1:6" x14ac:dyDescent="0.3">
      <c r="D19" s="37"/>
      <c r="E19" s="37"/>
    </row>
    <row r="20" spans="1:6" x14ac:dyDescent="0.3">
      <c r="D20" s="37"/>
      <c r="E20" s="37"/>
    </row>
    <row r="21" spans="1:6" x14ac:dyDescent="0.3">
      <c r="D21" s="37"/>
      <c r="E21" s="37"/>
    </row>
    <row r="22" spans="1:6" x14ac:dyDescent="0.3">
      <c r="D22" s="37"/>
      <c r="E22" s="37"/>
    </row>
    <row r="23" spans="1:6" x14ac:dyDescent="0.3">
      <c r="D23" s="37"/>
      <c r="E23" s="37"/>
    </row>
    <row r="24" spans="1:6" x14ac:dyDescent="0.3">
      <c r="D24" s="37"/>
      <c r="E24" s="37"/>
    </row>
    <row r="25" spans="1:6" x14ac:dyDescent="0.3">
      <c r="D25" s="37"/>
      <c r="E25" s="37"/>
    </row>
    <row r="26" spans="1:6" x14ac:dyDescent="0.3">
      <c r="D26" s="37"/>
      <c r="E26" s="37"/>
    </row>
    <row r="27" spans="1:6" x14ac:dyDescent="0.3">
      <c r="D27" s="37"/>
      <c r="E27" s="37"/>
    </row>
  </sheetData>
  <dataConsolidate/>
  <mergeCells count="3">
    <mergeCell ref="A1:E1"/>
    <mergeCell ref="A5:A8"/>
    <mergeCell ref="D12:E27"/>
  </mergeCells>
  <dataValidations count="1">
    <dataValidation type="list" allowBlank="1" showInputMessage="1" showErrorMessage="1" sqref="C6:E8 D5:E5" xr:uid="{22C7E861-BBE2-4E56-8761-C129F35F351C}">
      <formula1>DESOBJ</formula1>
    </dataValidation>
  </dataValidations>
  <pageMargins left="0.25" right="0.25" top="0.75" bottom="0.75" header="0.3" footer="0.3"/>
  <pageSetup scale="85" orientation="landscape" horizontalDpi="4294967293" vertic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68B22F83-F951-4429-AF33-785792A2273E}">
          <x14:formula1>
            <xm:f>OFFSET('Etapa 1. Análisis Ext. e Int.'!$B$8, 0, 0, COUNTA(DESOBJ))</xm:f>
          </x14:formula1>
          <xm:sqref>C5</xm:sqref>
        </x14:dataValidation>
        <x14:dataValidation type="list" allowBlank="1" showInputMessage="1" showErrorMessage="1" xr:uid="{2256297E-B67A-4CF6-9EF3-EC1F79C09435}">
          <x14:formula1>
            <xm:f>Introducción!#REF!</xm:f>
          </x14:formula1>
          <xm:sqref>B5:B8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E403B-5BAE-42CF-B0E8-3F79A9817E25}">
  <sheetPr>
    <tabColor theme="9" tint="0.39997558519241921"/>
  </sheetPr>
  <dimension ref="A1:G18"/>
  <sheetViews>
    <sheetView zoomScaleNormal="100" workbookViewId="0">
      <selection activeCell="E20" sqref="E20"/>
    </sheetView>
  </sheetViews>
  <sheetFormatPr baseColWidth="10" defaultRowHeight="14.4" x14ac:dyDescent="0.3"/>
  <cols>
    <col min="1" max="1" width="9.109375" customWidth="1"/>
    <col min="2" max="2" width="23" bestFit="1" customWidth="1"/>
    <col min="3" max="3" width="38.88671875" bestFit="1" customWidth="1"/>
    <col min="4" max="4" width="49.88671875" customWidth="1"/>
    <col min="5" max="5" width="17.6640625" customWidth="1"/>
    <col min="6" max="6" width="16.6640625" style="2" customWidth="1"/>
  </cols>
  <sheetData>
    <row r="1" spans="1:7" ht="17.399999999999999" x14ac:dyDescent="0.3">
      <c r="A1" s="43" t="s">
        <v>13</v>
      </c>
      <c r="B1" s="43"/>
      <c r="C1" s="43"/>
      <c r="D1" s="43"/>
      <c r="E1" s="43"/>
      <c r="F1" s="43"/>
      <c r="G1" s="43"/>
    </row>
    <row r="2" spans="1:7" x14ac:dyDescent="0.3">
      <c r="A2" s="13" t="s">
        <v>81</v>
      </c>
      <c r="B2" s="13"/>
    </row>
    <row r="3" spans="1:7" x14ac:dyDescent="0.3">
      <c r="A3" s="16">
        <v>1</v>
      </c>
      <c r="B3" s="13" t="s">
        <v>70</v>
      </c>
    </row>
    <row r="4" spans="1:7" x14ac:dyDescent="0.3">
      <c r="A4" s="16">
        <v>2</v>
      </c>
      <c r="B4" s="13" t="s">
        <v>71</v>
      </c>
    </row>
    <row r="5" spans="1:7" x14ac:dyDescent="0.3">
      <c r="A5" s="16">
        <v>3</v>
      </c>
      <c r="B5" s="13" t="s">
        <v>72</v>
      </c>
    </row>
    <row r="6" spans="1:7" x14ac:dyDescent="0.3">
      <c r="A6" s="16">
        <v>4</v>
      </c>
      <c r="B6" s="13" t="s">
        <v>75</v>
      </c>
    </row>
    <row r="7" spans="1:7" x14ac:dyDescent="0.3">
      <c r="A7" s="16">
        <v>5</v>
      </c>
      <c r="B7" s="13" t="s">
        <v>73</v>
      </c>
    </row>
    <row r="8" spans="1:7" ht="31.8" x14ac:dyDescent="0.3">
      <c r="F8" s="18" t="s">
        <v>69</v>
      </c>
    </row>
    <row r="9" spans="1:7" x14ac:dyDescent="0.3">
      <c r="A9" s="3" t="s">
        <v>5</v>
      </c>
      <c r="B9" s="3" t="s">
        <v>14</v>
      </c>
      <c r="C9" s="3" t="s">
        <v>15</v>
      </c>
      <c r="D9" s="3" t="s">
        <v>16</v>
      </c>
      <c r="E9" s="3" t="s">
        <v>74</v>
      </c>
      <c r="F9" s="4" t="s">
        <v>87</v>
      </c>
    </row>
    <row r="10" spans="1:7" x14ac:dyDescent="0.3">
      <c r="A10" s="22">
        <v>1</v>
      </c>
      <c r="B10" s="23" t="s">
        <v>1</v>
      </c>
      <c r="C10" s="23" t="s">
        <v>19</v>
      </c>
      <c r="D10" s="26" t="str">
        <f>VLOOKUP(Tabla5[[#This Row],[Objetivo-Descripción]],Listadeobjetivos[],2,FALSE)</f>
        <v>(Utilidad neta) / (Ingresos totales) * 100%</v>
      </c>
      <c r="E10" s="26" t="s">
        <v>38</v>
      </c>
      <c r="F10" s="24">
        <v>0.12559999999999999</v>
      </c>
    </row>
    <row r="11" spans="1:7" x14ac:dyDescent="0.3">
      <c r="A11" s="22">
        <v>2</v>
      </c>
      <c r="B11" s="23" t="s">
        <v>1</v>
      </c>
      <c r="C11" s="23" t="s">
        <v>63</v>
      </c>
      <c r="D11" s="26" t="str">
        <f>VLOOKUP(Tabla5[[#This Row],[Objetivo-Descripción]],Listadeobjetivos[],2,FALSE)</f>
        <v>(Ventas actuales-Ventas anterior) / (ventas periodo anterior)*100%</v>
      </c>
      <c r="E11" s="26" t="s">
        <v>38</v>
      </c>
      <c r="F11" s="24">
        <v>0.14280000000000001</v>
      </c>
    </row>
    <row r="12" spans="1:7" ht="24" x14ac:dyDescent="0.3">
      <c r="A12" s="22">
        <v>3</v>
      </c>
      <c r="B12" s="23" t="s">
        <v>0</v>
      </c>
      <c r="C12" s="23" t="s">
        <v>20</v>
      </c>
      <c r="D12" s="26" t="str">
        <f>VLOOKUP(Tabla5[[#This Row],[Objetivo-Descripción]],Listadeobjetivos[],2,FALSE)</f>
        <v>(No. Clientes con valoración mayor a neutro o satisfactorio) / (total clientes encuestados) * 100%</v>
      </c>
      <c r="E12" s="26" t="s">
        <v>38</v>
      </c>
      <c r="F12" s="24">
        <v>0.3</v>
      </c>
    </row>
    <row r="13" spans="1:7" x14ac:dyDescent="0.3">
      <c r="A13" s="22">
        <v>4</v>
      </c>
      <c r="B13" s="23" t="s">
        <v>2</v>
      </c>
      <c r="C13" s="23" t="s">
        <v>8</v>
      </c>
      <c r="D13" s="26" t="str">
        <f>VLOOKUP(Tabla5[[#This Row],[Objetivo-Descripción]],Listadeobjetivos[],2,FALSE)</f>
        <v>(Unidades producidas) / (Costo producción) * 100%</v>
      </c>
      <c r="E13" s="26" t="s">
        <v>38</v>
      </c>
      <c r="F13" s="24">
        <v>0.4</v>
      </c>
    </row>
    <row r="14" spans="1:7" x14ac:dyDescent="0.3">
      <c r="A14" s="22">
        <v>5</v>
      </c>
      <c r="B14" s="23" t="s">
        <v>2</v>
      </c>
      <c r="C14" s="23" t="s">
        <v>21</v>
      </c>
      <c r="D14" s="26" t="str">
        <f>VLOOKUP(Tabla5[[#This Row],[Objetivo-Descripción]],Listadeobjetivos[],2,FALSE)</f>
        <v>(No. Fallas) / (Total de servicios) * 100%</v>
      </c>
      <c r="E14" s="26" t="s">
        <v>38</v>
      </c>
      <c r="F14" s="24">
        <v>0.01</v>
      </c>
    </row>
    <row r="15" spans="1:7" x14ac:dyDescent="0.3">
      <c r="A15" s="22">
        <v>6</v>
      </c>
      <c r="B15" s="23" t="s">
        <v>2</v>
      </c>
      <c r="C15" s="23" t="s">
        <v>9</v>
      </c>
      <c r="D15" s="26" t="str">
        <f>VLOOKUP(Tabla5[[#This Row],[Objetivo-Descripción]],Listadeobjetivos[],2,FALSE)</f>
        <v>Sumatoria de operaciones (minutos)</v>
      </c>
      <c r="E15" s="26" t="s">
        <v>92</v>
      </c>
      <c r="F15" s="25">
        <v>135</v>
      </c>
    </row>
    <row r="16" spans="1:7" ht="24" x14ac:dyDescent="0.3">
      <c r="A16" s="22">
        <v>7</v>
      </c>
      <c r="B16" s="23" t="s">
        <v>3</v>
      </c>
      <c r="C16" s="23" t="s">
        <v>22</v>
      </c>
      <c r="D16" s="26" t="str">
        <f>VLOOKUP(Tabla5[[#This Row],[Objetivo-Descripción]],Listadeobjetivos[],2,FALSE)</f>
        <v>(No. Capacitaciones ejecutadas) / (No. Capacitaciones planificadas) * 100%</v>
      </c>
      <c r="E16" s="26" t="s">
        <v>38</v>
      </c>
      <c r="F16" s="24">
        <v>2.25</v>
      </c>
    </row>
    <row r="17" spans="1:6" x14ac:dyDescent="0.3">
      <c r="A17" s="22">
        <v>8</v>
      </c>
      <c r="B17" s="23" t="s">
        <v>3</v>
      </c>
      <c r="C17" s="23" t="s">
        <v>23</v>
      </c>
      <c r="D17" s="26" t="str">
        <f>VLOOKUP(Tabla5[[#This Row],[Objetivo-Descripción]],Listadeobjetivos[],2,FALSE)</f>
        <v>Rotación neta / Número empleados * 100%</v>
      </c>
      <c r="E17" s="26" t="s">
        <v>38</v>
      </c>
      <c r="F17" s="24">
        <v>0.18260000000000001</v>
      </c>
    </row>
    <row r="18" spans="1:6" ht="27.6" x14ac:dyDescent="0.3">
      <c r="A18" s="22">
        <v>9</v>
      </c>
      <c r="B18" s="23" t="s">
        <v>3</v>
      </c>
      <c r="C18" s="23" t="s">
        <v>62</v>
      </c>
      <c r="D18" s="26" t="str">
        <f>VLOOKUP(Tabla5[[#This Row],[Objetivo-Descripción]],Listadeobjetivos[],2,FALSE)</f>
        <v>Valor de la inversión (Millones o miles)</v>
      </c>
      <c r="E18" s="26" t="s">
        <v>91</v>
      </c>
      <c r="F18" s="25">
        <v>7000000</v>
      </c>
    </row>
  </sheetData>
  <mergeCells count="1">
    <mergeCell ref="A1:G1"/>
  </mergeCells>
  <dataValidations count="3">
    <dataValidation type="list" allowBlank="1" showInputMessage="1" showErrorMessage="1" sqref="B10:B18" xr:uid="{A89CEF64-6C04-4AD8-A43C-56EDAA48C69B}">
      <formula1>Categorías</formula1>
    </dataValidation>
    <dataValidation type="list" allowBlank="1" showInputMessage="1" showErrorMessage="1" sqref="C10:C18" xr:uid="{7AEF47CB-9594-4E48-ACD2-C52874244DB1}">
      <formula1>DESOBJ</formula1>
    </dataValidation>
    <dataValidation type="list" allowBlank="1" showInputMessage="1" showErrorMessage="1" sqref="E10:E18" xr:uid="{898CDB61-499F-4968-9982-E6DACBD8DFA0}">
      <formula1>"Porcentaje, Horas, Miles, Millones"</formula1>
    </dataValidation>
  </dataValidations>
  <pageMargins left="0.25" right="0.25" top="0.75" bottom="0.75" header="0.3" footer="0.3"/>
  <pageSetup scale="85" orientation="landscape" horizontalDpi="4294967293" verticalDpi="4294967293"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98E3E-68AA-4D62-9390-CCB842062ECA}">
  <sheetPr>
    <tabColor theme="9" tint="-0.249977111117893"/>
  </sheetPr>
  <dimension ref="A1:J19"/>
  <sheetViews>
    <sheetView zoomScaleNormal="100" workbookViewId="0">
      <selection activeCell="I34" sqref="I34"/>
    </sheetView>
  </sheetViews>
  <sheetFormatPr baseColWidth="10" defaultRowHeight="14.4" x14ac:dyDescent="0.3"/>
  <cols>
    <col min="1" max="1" width="19.5546875" customWidth="1"/>
    <col min="2" max="2" width="40.44140625" customWidth="1"/>
    <col min="3" max="3" width="11" customWidth="1"/>
    <col min="4" max="4" width="11.6640625" customWidth="1"/>
    <col min="5" max="5" width="10.88671875" customWidth="1"/>
    <col min="6" max="6" width="17.6640625" customWidth="1"/>
    <col min="7" max="7" width="15.109375" customWidth="1"/>
    <col min="9" max="9" width="12.109375" customWidth="1"/>
    <col min="10" max="10" width="12.44140625" customWidth="1"/>
    <col min="11" max="11" width="12" customWidth="1"/>
  </cols>
  <sheetData>
    <row r="1" spans="1:10" ht="17.399999999999999" x14ac:dyDescent="0.3">
      <c r="A1" s="44" t="s">
        <v>32</v>
      </c>
      <c r="B1" s="44"/>
      <c r="C1" s="44"/>
      <c r="D1" s="44"/>
      <c r="E1" s="44"/>
      <c r="F1" s="44"/>
      <c r="G1" s="44"/>
      <c r="H1" s="44"/>
    </row>
    <row r="2" spans="1:10" x14ac:dyDescent="0.3">
      <c r="A2" s="13" t="s">
        <v>81</v>
      </c>
      <c r="B2" s="13"/>
    </row>
    <row r="3" spans="1:10" x14ac:dyDescent="0.3">
      <c r="A3" s="16">
        <v>1</v>
      </c>
      <c r="B3" s="13" t="s">
        <v>80</v>
      </c>
    </row>
    <row r="4" spans="1:10" x14ac:dyDescent="0.3">
      <c r="A4" s="16">
        <v>2</v>
      </c>
      <c r="B4" s="13" t="s">
        <v>78</v>
      </c>
    </row>
    <row r="5" spans="1:10" x14ac:dyDescent="0.3">
      <c r="A5" s="16">
        <v>3</v>
      </c>
      <c r="B5" s="13" t="s">
        <v>79</v>
      </c>
    </row>
    <row r="6" spans="1:10" x14ac:dyDescent="0.3">
      <c r="A6" s="16"/>
      <c r="B6" s="13"/>
    </row>
    <row r="7" spans="1:10" ht="38.25" customHeight="1" x14ac:dyDescent="0.3">
      <c r="A7" s="30" t="s">
        <v>14</v>
      </c>
      <c r="B7" s="30" t="s">
        <v>33</v>
      </c>
      <c r="C7" s="30" t="s">
        <v>76</v>
      </c>
      <c r="D7" s="30" t="s">
        <v>17</v>
      </c>
      <c r="E7" s="30" t="s">
        <v>34</v>
      </c>
      <c r="F7" s="30" t="s">
        <v>77</v>
      </c>
      <c r="G7" s="30" t="s">
        <v>44</v>
      </c>
      <c r="H7" s="30" t="s">
        <v>35</v>
      </c>
      <c r="I7" s="30" t="s">
        <v>36</v>
      </c>
      <c r="J7" s="30" t="s">
        <v>37</v>
      </c>
    </row>
    <row r="8" spans="1:10" ht="24.9" customHeight="1" x14ac:dyDescent="0.3">
      <c r="A8" s="29" t="str">
        <f>'Etapa 3. Objetivos Relevantes'!B10</f>
        <v>Financiera</v>
      </c>
      <c r="B8" s="29" t="str">
        <f>'Etapa 3. Objetivos Relevantes'!C10</f>
        <v>Incrementar % de rentabilidad</v>
      </c>
      <c r="C8" s="27" t="str">
        <f>'Etapa 3. Objetivos Relevantes'!E10</f>
        <v>Porcentaje</v>
      </c>
      <c r="D8" s="31">
        <f>'Etapa 3. Objetivos Relevantes'!F10</f>
        <v>0.12559999999999999</v>
      </c>
      <c r="E8" s="31">
        <f>'Etapa 1. Análisis Ext. e Int.'!C8</f>
        <v>0.5</v>
      </c>
      <c r="F8" s="31" t="str">
        <f>'Etapa 1. Análisis Ext. e Int.'!D8</f>
        <v>Anual</v>
      </c>
      <c r="G8" s="33">
        <v>0.5</v>
      </c>
      <c r="H8" s="33">
        <v>0.2</v>
      </c>
      <c r="I8" s="33">
        <v>0.05</v>
      </c>
      <c r="J8" s="28" t="s">
        <v>39</v>
      </c>
    </row>
    <row r="9" spans="1:10" ht="24.9" customHeight="1" x14ac:dyDescent="0.3">
      <c r="A9" s="29" t="str">
        <f>'Etapa 3. Objetivos Relevantes'!B11</f>
        <v>Financiera</v>
      </c>
      <c r="B9" s="29" t="str">
        <f>'Etapa 3. Objetivos Relevantes'!C11</f>
        <v>Aumentar ingreso de ventas</v>
      </c>
      <c r="C9" s="27" t="str">
        <f>'Etapa 3. Objetivos Relevantes'!E11</f>
        <v>Porcentaje</v>
      </c>
      <c r="D9" s="31">
        <f>'Etapa 3. Objetivos Relevantes'!F11</f>
        <v>0.14280000000000001</v>
      </c>
      <c r="E9" s="31">
        <f>'Etapa 1. Análisis Ext. e Int.'!C9</f>
        <v>0.2</v>
      </c>
      <c r="F9" s="31" t="str">
        <f>'Etapa 1. Análisis Ext. e Int.'!D9</f>
        <v>Anual</v>
      </c>
      <c r="G9" s="33">
        <v>0.2</v>
      </c>
      <c r="H9" s="33">
        <v>0.1</v>
      </c>
      <c r="I9" s="33">
        <v>0.05</v>
      </c>
      <c r="J9" s="28" t="s">
        <v>40</v>
      </c>
    </row>
    <row r="10" spans="1:10" ht="24.9" customHeight="1" x14ac:dyDescent="0.3">
      <c r="A10" s="29" t="str">
        <f>'Etapa 3. Objetivos Relevantes'!B12</f>
        <v>Clientes</v>
      </c>
      <c r="B10" s="29" t="str">
        <f>'Etapa 3. Objetivos Relevantes'!C12</f>
        <v>Fidelización de los clientes</v>
      </c>
      <c r="C10" s="27" t="str">
        <f>'Etapa 3. Objetivos Relevantes'!E12</f>
        <v>Porcentaje</v>
      </c>
      <c r="D10" s="31">
        <f>'Etapa 3. Objetivos Relevantes'!F12</f>
        <v>0.3</v>
      </c>
      <c r="E10" s="31">
        <f>'Etapa 1. Análisis Ext. e Int.'!C10</f>
        <v>0.85</v>
      </c>
      <c r="F10" s="31" t="str">
        <f>'Etapa 1. Análisis Ext. e Int.'!D10</f>
        <v>Anual</v>
      </c>
      <c r="G10" s="33">
        <v>0.95</v>
      </c>
      <c r="H10" s="33">
        <v>0.9</v>
      </c>
      <c r="I10" s="33">
        <v>0.8</v>
      </c>
      <c r="J10" s="28" t="s">
        <v>41</v>
      </c>
    </row>
    <row r="11" spans="1:10" ht="24.9" customHeight="1" x14ac:dyDescent="0.3">
      <c r="A11" s="29" t="str">
        <f>'Etapa 3. Objetivos Relevantes'!B13</f>
        <v>Procesos</v>
      </c>
      <c r="B11" s="29" t="str">
        <f>'Etapa 3. Objetivos Relevantes'!C13</f>
        <v>Incrementar eficiencia del proceso</v>
      </c>
      <c r="C11" s="27" t="str">
        <f>'Etapa 3. Objetivos Relevantes'!E13</f>
        <v>Porcentaje</v>
      </c>
      <c r="D11" s="31">
        <f>'Etapa 3. Objetivos Relevantes'!F13</f>
        <v>0.4</v>
      </c>
      <c r="E11" s="31">
        <f>'Etapa 1. Análisis Ext. e Int.'!C11</f>
        <v>0.92</v>
      </c>
      <c r="F11" s="31" t="str">
        <f>'Etapa 1. Análisis Ext. e Int.'!D11</f>
        <v>Mensual</v>
      </c>
      <c r="G11" s="33">
        <v>0.9</v>
      </c>
      <c r="H11" s="33">
        <v>0.8</v>
      </c>
      <c r="I11" s="33">
        <v>0.7</v>
      </c>
      <c r="J11" s="28" t="s">
        <v>41</v>
      </c>
    </row>
    <row r="12" spans="1:10" ht="24.9" customHeight="1" x14ac:dyDescent="0.3">
      <c r="A12" s="29" t="str">
        <f>'Etapa 3. Objetivos Relevantes'!B14</f>
        <v>Procesos</v>
      </c>
      <c r="B12" s="29" t="str">
        <f>'Etapa 3. Objetivos Relevantes'!C14</f>
        <v>Control de calidad para reducción de defectos</v>
      </c>
      <c r="C12" s="27" t="str">
        <f>'Etapa 3. Objetivos Relevantes'!E14</f>
        <v>Porcentaje</v>
      </c>
      <c r="D12" s="31">
        <f>'Etapa 3. Objetivos Relevantes'!F14</f>
        <v>0.01</v>
      </c>
      <c r="E12" s="31">
        <f>'Etapa 1. Análisis Ext. e Int.'!C12</f>
        <v>0.01</v>
      </c>
      <c r="F12" s="31" t="str">
        <f>'Etapa 1. Análisis Ext. e Int.'!D12</f>
        <v>Mensual</v>
      </c>
      <c r="G12" s="33">
        <v>0.02</v>
      </c>
      <c r="H12" s="33">
        <v>0.06</v>
      </c>
      <c r="I12" s="33">
        <v>0.1</v>
      </c>
      <c r="J12" s="28" t="s">
        <v>41</v>
      </c>
    </row>
    <row r="13" spans="1:10" ht="24.9" customHeight="1" x14ac:dyDescent="0.3">
      <c r="A13" s="29" t="str">
        <f>'Etapa 3. Objetivos Relevantes'!B15</f>
        <v>Procesos</v>
      </c>
      <c r="B13" s="29" t="str">
        <f>'Etapa 3. Objetivos Relevantes'!C15</f>
        <v>Reducir tiempo de ciclo</v>
      </c>
      <c r="C13" s="27" t="str">
        <f>'Etapa 3. Objetivos Relevantes'!E15</f>
        <v>Horas</v>
      </c>
      <c r="D13" s="32">
        <f>'Etapa 3. Objetivos Relevantes'!F15</f>
        <v>135</v>
      </c>
      <c r="E13" s="31">
        <f>'Etapa 1. Análisis Ext. e Int.'!C13</f>
        <v>20</v>
      </c>
      <c r="F13" s="31" t="str">
        <f>'Etapa 1. Análisis Ext. e Int.'!D13</f>
        <v>Anual</v>
      </c>
      <c r="G13" s="33">
        <v>10</v>
      </c>
      <c r="H13" s="33">
        <v>20</v>
      </c>
      <c r="I13" s="33">
        <v>30</v>
      </c>
      <c r="J13" s="28" t="s">
        <v>41</v>
      </c>
    </row>
    <row r="14" spans="1:10" ht="24.9" customHeight="1" x14ac:dyDescent="0.3">
      <c r="A14" s="29" t="str">
        <f>'Etapa 3. Objetivos Relevantes'!B16</f>
        <v>Aprendizaje y Desarrollo</v>
      </c>
      <c r="B14" s="29" t="str">
        <f>'Etapa 3. Objetivos Relevantes'!C16</f>
        <v>Capacitación total del personal</v>
      </c>
      <c r="C14" s="27" t="str">
        <f>'Etapa 3. Objetivos Relevantes'!E16</f>
        <v>Porcentaje</v>
      </c>
      <c r="D14" s="31">
        <f>'Etapa 3. Objetivos Relevantes'!F16</f>
        <v>2.25</v>
      </c>
      <c r="E14" s="31">
        <f>'Etapa 1. Análisis Ext. e Int.'!C14</f>
        <v>1</v>
      </c>
      <c r="F14" s="31" t="str">
        <f>'Etapa 1. Análisis Ext. e Int.'!D14</f>
        <v>Anual</v>
      </c>
      <c r="G14" s="33">
        <v>0.9</v>
      </c>
      <c r="H14" s="33">
        <v>0.8</v>
      </c>
      <c r="I14" s="33">
        <v>0.7</v>
      </c>
      <c r="J14" s="28" t="s">
        <v>42</v>
      </c>
    </row>
    <row r="15" spans="1:10" ht="24.9" customHeight="1" x14ac:dyDescent="0.3">
      <c r="A15" s="29" t="str">
        <f>'Etapa 3. Objetivos Relevantes'!B17</f>
        <v>Aprendizaje y Desarrollo</v>
      </c>
      <c r="B15" s="29" t="str">
        <f>'Etapa 3. Objetivos Relevantes'!C17</f>
        <v>índice de rotación menor</v>
      </c>
      <c r="C15" s="27" t="str">
        <f>'Etapa 3. Objetivos Relevantes'!E17</f>
        <v>Porcentaje</v>
      </c>
      <c r="D15" s="31">
        <f>'Etapa 3. Objetivos Relevantes'!F17</f>
        <v>0.18260000000000001</v>
      </c>
      <c r="E15" s="31">
        <f>'Etapa 1. Análisis Ext. e Int.'!C15</f>
        <v>0.02</v>
      </c>
      <c r="F15" s="31" t="str">
        <f>'Etapa 1. Análisis Ext. e Int.'!D15</f>
        <v>Mensual</v>
      </c>
      <c r="G15" s="33">
        <v>0.05</v>
      </c>
      <c r="H15" s="33">
        <v>0.06</v>
      </c>
      <c r="I15" s="33">
        <v>0.08</v>
      </c>
      <c r="J15" s="28" t="s">
        <v>42</v>
      </c>
    </row>
    <row r="16" spans="1:10" ht="24.9" customHeight="1" x14ac:dyDescent="0.3">
      <c r="A16" s="29" t="str">
        <f>'Etapa 3. Objetivos Relevantes'!B18</f>
        <v>Aprendizaje y Desarrollo</v>
      </c>
      <c r="B16" s="29" t="str">
        <f>'Etapa 3. Objetivos Relevantes'!C18</f>
        <v>Incrementar inversión en herramientas para los departamentos e inversión en investigación</v>
      </c>
      <c r="C16" s="27" t="str">
        <f>'Etapa 3. Objetivos Relevantes'!E18</f>
        <v>Millones</v>
      </c>
      <c r="D16" s="32">
        <f>'Etapa 3. Objetivos Relevantes'!F18</f>
        <v>7000000</v>
      </c>
      <c r="E16" s="31">
        <f>'Etapa 1. Análisis Ext. e Int.'!C16</f>
        <v>0.2</v>
      </c>
      <c r="F16" s="31" t="str">
        <f>'Etapa 1. Análisis Ext. e Int.'!D16</f>
        <v>Anual</v>
      </c>
      <c r="G16" s="33">
        <v>10</v>
      </c>
      <c r="H16" s="33">
        <v>5</v>
      </c>
      <c r="I16" s="33">
        <v>2</v>
      </c>
      <c r="J16" s="28" t="s">
        <v>42</v>
      </c>
    </row>
    <row r="19" ht="15" customHeight="1" x14ac:dyDescent="0.3"/>
  </sheetData>
  <mergeCells count="1">
    <mergeCell ref="A1:H1"/>
  </mergeCells>
  <conditionalFormatting sqref="G8:I8">
    <cfRule type="iconSet" priority="12">
      <iconSet iconSet="3Symbols">
        <cfvo type="percent" val="0"/>
        <cfvo type="percent" val="33"/>
        <cfvo type="percent" val="67"/>
      </iconSet>
    </cfRule>
  </conditionalFormatting>
  <conditionalFormatting sqref="G9:I9">
    <cfRule type="iconSet" priority="11">
      <iconSet iconSet="3Symbols">
        <cfvo type="percent" val="0"/>
        <cfvo type="percent" val="33"/>
        <cfvo type="percent" val="67"/>
      </iconSet>
    </cfRule>
  </conditionalFormatting>
  <conditionalFormatting sqref="G10:I10">
    <cfRule type="iconSet" priority="10">
      <iconSet iconSet="3Symbols">
        <cfvo type="percent" val="0"/>
        <cfvo type="percent" val="33"/>
        <cfvo type="percent" val="67"/>
      </iconSet>
    </cfRule>
  </conditionalFormatting>
  <conditionalFormatting sqref="G11:I11">
    <cfRule type="iconSet" priority="9">
      <iconSet iconSet="3Symbols">
        <cfvo type="percent" val="0"/>
        <cfvo type="percent" val="33"/>
        <cfvo type="percent" val="67"/>
      </iconSet>
    </cfRule>
  </conditionalFormatting>
  <conditionalFormatting sqref="G14:I14">
    <cfRule type="iconSet" priority="6">
      <iconSet iconSet="3Symbols">
        <cfvo type="percent" val="0"/>
        <cfvo type="percent" val="33"/>
        <cfvo type="percent" val="67"/>
      </iconSet>
    </cfRule>
  </conditionalFormatting>
  <conditionalFormatting sqref="G16:I16">
    <cfRule type="iconSet" priority="4">
      <iconSet iconSet="3Symbols">
        <cfvo type="percent" val="0"/>
        <cfvo type="percent" val="33"/>
        <cfvo type="percent" val="67"/>
      </iconSet>
    </cfRule>
  </conditionalFormatting>
  <conditionalFormatting sqref="H19:H23">
    <cfRule type="iconSet" priority="13">
      <iconSet iconSet="3Symbols">
        <cfvo type="percent" val="0"/>
        <cfvo type="percent" val="33"/>
        <cfvo type="percent" val="67"/>
      </iconSet>
    </cfRule>
  </conditionalFormatting>
  <dataValidations count="1">
    <dataValidation type="list" allowBlank="1" showInputMessage="1" showErrorMessage="1" sqref="A8:B16" xr:uid="{CA0BB6BE-6EAA-4E8F-880E-542B192DBDC7}">
      <formula1>Categorías</formula1>
    </dataValidation>
  </dataValidations>
  <pageMargins left="0.25" right="0.25" top="0.75" bottom="0.75" header="0.3" footer="0.3"/>
  <pageSetup scale="80" orientation="landscape" horizontalDpi="4294967293" verticalDpi="4294967293"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8" id="{23821BBF-24FC-44F9-B3BF-FFB31F09C3F7}">
            <x14:iconSet iconSet="3Symbols" custom="1">
              <x14:cfvo type="percent">
                <xm:f>0</xm:f>
              </x14:cfvo>
              <x14:cfvo type="percent">
                <xm:f>33</xm:f>
              </x14:cfvo>
              <x14:cfvo type="percent">
                <xm:f>67</xm:f>
              </x14:cfvo>
              <x14:cfIcon iconSet="3Symbols" iconId="2"/>
              <x14:cfIcon iconSet="3Symbols" iconId="1"/>
              <x14:cfIcon iconSet="3Symbols" iconId="0"/>
            </x14:iconSet>
          </x14:cfRule>
          <xm:sqref>G12:I12</xm:sqref>
        </x14:conditionalFormatting>
        <x14:conditionalFormatting xmlns:xm="http://schemas.microsoft.com/office/excel/2006/main">
          <x14:cfRule type="iconSet" priority="7" id="{A4441D49-6E6F-4D67-8C42-E1CA93486690}">
            <x14:iconSet iconSet="3Symbols" custom="1">
              <x14:cfvo type="percent">
                <xm:f>0</xm:f>
              </x14:cfvo>
              <x14:cfvo type="percent">
                <xm:f>33</xm:f>
              </x14:cfvo>
              <x14:cfvo type="percent">
                <xm:f>67</xm:f>
              </x14:cfvo>
              <x14:cfIcon iconSet="3Symbols" iconId="2"/>
              <x14:cfIcon iconSet="3Symbols" iconId="1"/>
              <x14:cfIcon iconSet="3Symbols" iconId="0"/>
            </x14:iconSet>
          </x14:cfRule>
          <xm:sqref>G13:I13</xm:sqref>
        </x14:conditionalFormatting>
        <x14:conditionalFormatting xmlns:xm="http://schemas.microsoft.com/office/excel/2006/main">
          <x14:cfRule type="iconSet" priority="5" id="{18676FF8-F1A0-42AE-A822-7D7E935E49E3}">
            <x14:iconSet iconSet="3Symbols" custom="1">
              <x14:cfvo type="percent">
                <xm:f>0</xm:f>
              </x14:cfvo>
              <x14:cfvo type="percent">
                <xm:f>33</xm:f>
              </x14:cfvo>
              <x14:cfvo type="percent">
                <xm:f>67</xm:f>
              </x14:cfvo>
              <x14:cfIcon iconSet="3Symbols" iconId="2"/>
              <x14:cfIcon iconSet="3Symbols" iconId="1"/>
              <x14:cfIcon iconSet="3Symbols" iconId="0"/>
            </x14:iconSet>
          </x14:cfRule>
          <xm:sqref>G15:I15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4C74E16-041D-47FC-BEAF-23DF9ABCFE6F}">
          <x14:formula1>
            <xm:f>'Etapa 1. Análisis Ext. e Int.'!$E$13:$E$16</xm:f>
          </x14:formula1>
          <xm:sqref>J8:J16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1ACB5-465D-4D21-AAE0-1A5C930B9E66}">
  <sheetPr>
    <tabColor theme="9" tint="-0.499984740745262"/>
  </sheetPr>
  <dimension ref="A1:N62"/>
  <sheetViews>
    <sheetView tabSelected="1" zoomScale="80" zoomScaleNormal="80" workbookViewId="0">
      <selection activeCell="H85" sqref="H85"/>
    </sheetView>
  </sheetViews>
  <sheetFormatPr baseColWidth="10" defaultRowHeight="14.4" x14ac:dyDescent="0.3"/>
  <sheetData>
    <row r="1" spans="1:14" ht="17.399999999999999" x14ac:dyDescent="0.3">
      <c r="A1" s="44" t="s">
        <v>43</v>
      </c>
      <c r="B1" s="44"/>
      <c r="C1" s="44"/>
      <c r="D1" s="44"/>
      <c r="E1" s="44"/>
      <c r="F1" s="44"/>
      <c r="G1" s="44"/>
      <c r="H1" s="44"/>
      <c r="I1" s="44"/>
      <c r="J1" s="44"/>
      <c r="K1" s="44"/>
      <c r="L1" s="44"/>
      <c r="M1" s="44"/>
      <c r="N1" s="44"/>
    </row>
    <row r="2" spans="1:14" x14ac:dyDescent="0.3">
      <c r="A2" s="13" t="s">
        <v>81</v>
      </c>
      <c r="B2" s="13"/>
    </row>
    <row r="3" spans="1:14" x14ac:dyDescent="0.3">
      <c r="A3" s="16">
        <v>1</v>
      </c>
      <c r="B3" s="13" t="s">
        <v>83</v>
      </c>
    </row>
    <row r="4" spans="1:14" x14ac:dyDescent="0.3">
      <c r="A4" s="16">
        <v>2</v>
      </c>
      <c r="B4" s="13" t="s">
        <v>85</v>
      </c>
    </row>
    <row r="5" spans="1:14" x14ac:dyDescent="0.3">
      <c r="A5" s="16">
        <v>3</v>
      </c>
      <c r="B5" s="13" t="s">
        <v>86</v>
      </c>
    </row>
    <row r="7" spans="1:14" ht="28.8" x14ac:dyDescent="0.55000000000000004">
      <c r="A7" s="34" t="s">
        <v>84</v>
      </c>
      <c r="B7" s="34"/>
      <c r="C7" s="34"/>
      <c r="D7" s="34"/>
      <c r="E7" s="34"/>
    </row>
    <row r="25" spans="1:5" ht="28.8" x14ac:dyDescent="0.55000000000000004">
      <c r="A25" s="47" t="s">
        <v>88</v>
      </c>
      <c r="B25" s="47"/>
      <c r="C25" s="47"/>
      <c r="D25" s="47"/>
      <c r="E25" s="47"/>
    </row>
    <row r="44" spans="1:5" ht="28.8" x14ac:dyDescent="0.55000000000000004">
      <c r="A44" s="48" t="s">
        <v>89</v>
      </c>
      <c r="B44" s="48"/>
      <c r="C44" s="48"/>
      <c r="D44" s="48"/>
      <c r="E44" s="48"/>
    </row>
    <row r="62" spans="1:5" ht="28.8" x14ac:dyDescent="0.55000000000000004">
      <c r="A62" s="49" t="s">
        <v>90</v>
      </c>
      <c r="B62" s="49"/>
      <c r="C62" s="49"/>
      <c r="D62" s="49"/>
      <c r="E62" s="49"/>
    </row>
  </sheetData>
  <mergeCells count="1">
    <mergeCell ref="A1:N1"/>
  </mergeCells>
  <pageMargins left="0.25" right="0.25" top="0.75" bottom="0.75" header="0.3" footer="0.3"/>
  <pageSetup scale="70" orientation="portrait" horizontalDpi="4294967293" verticalDpi="4294967293"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5ED1-F141-4DFB-86B0-AFCFBC3A1565}">
  <sheetPr>
    <tabColor theme="4" tint="0.79998168889431442"/>
  </sheetPr>
  <dimension ref="A1:K8"/>
  <sheetViews>
    <sheetView workbookViewId="0">
      <selection activeCell="A3" sqref="A3:I8"/>
    </sheetView>
  </sheetViews>
  <sheetFormatPr baseColWidth="10" defaultRowHeight="14.4" x14ac:dyDescent="0.3"/>
  <sheetData>
    <row r="1" spans="1:11" x14ac:dyDescent="0.3">
      <c r="A1" s="46" t="s">
        <v>82</v>
      </c>
      <c r="B1" s="46"/>
      <c r="C1" s="46"/>
      <c r="D1" s="46"/>
      <c r="E1" s="46"/>
      <c r="F1" s="46"/>
      <c r="G1" s="46"/>
      <c r="H1" s="46"/>
      <c r="I1" s="46"/>
      <c r="J1" s="46"/>
      <c r="K1" s="46"/>
    </row>
    <row r="3" spans="1:11" x14ac:dyDescent="0.3">
      <c r="A3" s="51" t="s">
        <v>94</v>
      </c>
      <c r="B3" s="45"/>
      <c r="C3" s="45"/>
      <c r="D3" s="45"/>
      <c r="E3" s="45"/>
      <c r="F3" s="45"/>
      <c r="G3" s="45"/>
      <c r="H3" s="45"/>
      <c r="I3" s="45"/>
    </row>
    <row r="4" spans="1:11" x14ac:dyDescent="0.3">
      <c r="A4" s="45"/>
      <c r="B4" s="45"/>
      <c r="C4" s="45"/>
      <c r="D4" s="45"/>
      <c r="E4" s="45"/>
      <c r="F4" s="45"/>
      <c r="G4" s="45"/>
      <c r="H4" s="45"/>
      <c r="I4" s="45"/>
    </row>
    <row r="5" spans="1:11" x14ac:dyDescent="0.3">
      <c r="A5" s="45"/>
      <c r="B5" s="45"/>
      <c r="C5" s="45"/>
      <c r="D5" s="45"/>
      <c r="E5" s="45"/>
      <c r="F5" s="45"/>
      <c r="G5" s="45"/>
      <c r="H5" s="45"/>
      <c r="I5" s="45"/>
    </row>
    <row r="6" spans="1:11" x14ac:dyDescent="0.3">
      <c r="A6" s="45"/>
      <c r="B6" s="45"/>
      <c r="C6" s="45"/>
      <c r="D6" s="45"/>
      <c r="E6" s="45"/>
      <c r="F6" s="45"/>
      <c r="G6" s="45"/>
      <c r="H6" s="45"/>
      <c r="I6" s="45"/>
    </row>
    <row r="7" spans="1:11" x14ac:dyDescent="0.3">
      <c r="A7" s="45"/>
      <c r="B7" s="45"/>
      <c r="C7" s="45"/>
      <c r="D7" s="45"/>
      <c r="E7" s="45"/>
      <c r="F7" s="45"/>
      <c r="G7" s="45"/>
      <c r="H7" s="45"/>
      <c r="I7" s="45"/>
    </row>
    <row r="8" spans="1:11" ht="82.5" customHeight="1" x14ac:dyDescent="0.3">
      <c r="A8" s="45"/>
      <c r="B8" s="45"/>
      <c r="C8" s="45"/>
      <c r="D8" s="45"/>
      <c r="E8" s="45"/>
      <c r="F8" s="45"/>
      <c r="G8" s="45"/>
      <c r="H8" s="45"/>
      <c r="I8" s="45"/>
    </row>
  </sheetData>
  <mergeCells count="2">
    <mergeCell ref="A3:I8"/>
    <mergeCell ref="A1:K1"/>
  </mergeCells>
  <pageMargins left="0.25" right="0.25" top="0.75" bottom="0.75" header="0.3" footer="0.3"/>
  <pageSetup orientation="landscape"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vt:i4>
      </vt:variant>
    </vt:vector>
  </HeadingPairs>
  <TitlesOfParts>
    <vt:vector size="12" baseType="lpstr">
      <vt:lpstr>Portada e índice</vt:lpstr>
      <vt:lpstr>Introducción</vt:lpstr>
      <vt:lpstr>Etapa 1. Análisis Ext. e Int.</vt:lpstr>
      <vt:lpstr>Etapa 2. Mapa estratégico</vt:lpstr>
      <vt:lpstr>Etapa 3. Objetivos Relevantes</vt:lpstr>
      <vt:lpstr>Etapa 4. Tablero de control</vt:lpstr>
      <vt:lpstr>Etapa 5. Dashboard</vt:lpstr>
      <vt:lpstr>Conclusión</vt:lpstr>
      <vt:lpstr>DESOBJ</vt:lpstr>
      <vt:lpstr>ID</vt:lpstr>
      <vt:lpstr>META</vt:lpstr>
      <vt:lpstr>UNIDADMEDICION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 2020</dc:creator>
  <cp:lastModifiedBy>Alejandra Ibarra</cp:lastModifiedBy>
  <cp:lastPrinted>2023-08-28T05:53:17Z</cp:lastPrinted>
  <dcterms:created xsi:type="dcterms:W3CDTF">2022-04-20T06:19:07Z</dcterms:created>
  <dcterms:modified xsi:type="dcterms:W3CDTF">2026-09-07T01:39:52Z</dcterms:modified>
</cp:coreProperties>
</file>